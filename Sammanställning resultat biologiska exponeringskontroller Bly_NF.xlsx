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enametall-my.sharepoint.com/personal/jeanette_holmgren_stenarecycling_se/Documents/A Produktion/Hackaton/"/>
    </mc:Choice>
  </mc:AlternateContent>
  <xr:revisionPtr revIDLastSave="19" documentId="8_{00DA0F88-3468-40A0-A6F9-22249CEF0C09}" xr6:coauthVersionLast="47" xr6:coauthVersionMax="47" xr10:uidLastSave="{00BAD3B5-3641-4B97-998F-906ADF4AB290}"/>
  <bookViews>
    <workbookView xWindow="28680" yWindow="-120" windowWidth="29040" windowHeight="15720" firstSheet="2" activeTab="3" xr2:uid="{80D8FD65-9325-4A2C-8CE7-3DB650C736ED}"/>
  </bookViews>
  <sheets>
    <sheet name="Inledning" sheetId="12" r:id="rId1"/>
    <sheet name="Kv &lt;50 överskridanden" sheetId="5" r:id="rId2"/>
    <sheet name="Kv &lt;50 förhöjda värden" sheetId="4" r:id="rId3"/>
    <sheet name="NF Flotation end mätresult" sheetId="13" r:id="rId4"/>
    <sheet name="NF Sensor Män 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8" l="1"/>
  <c r="N10" i="8"/>
  <c r="N6" i="8"/>
  <c r="N8" i="8"/>
  <c r="N9" i="8"/>
  <c r="N11" i="8"/>
  <c r="N12" i="8"/>
  <c r="N13" i="8"/>
  <c r="N14" i="8"/>
  <c r="N15" i="8"/>
  <c r="N16" i="8"/>
  <c r="N17" i="8"/>
  <c r="N18" i="8"/>
  <c r="N5" i="8"/>
  <c r="K27" i="13"/>
  <c r="K28" i="13" s="1"/>
  <c r="K6" i="13"/>
  <c r="K2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5" i="13"/>
  <c r="V32" i="5"/>
  <c r="V29" i="5"/>
  <c r="V28" i="5"/>
  <c r="V27" i="5"/>
  <c r="V26" i="5"/>
  <c r="V25" i="5"/>
  <c r="V24" i="5"/>
  <c r="V23" i="5"/>
  <c r="V22" i="5"/>
  <c r="V33" i="5" s="1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31" i="5" s="1"/>
  <c r="V10" i="4"/>
  <c r="V12" i="4"/>
  <c r="V11" i="4"/>
  <c r="V9" i="4"/>
  <c r="V8" i="4"/>
  <c r="V7" i="4"/>
  <c r="V6" i="4"/>
  <c r="V5" i="4"/>
  <c r="N19" i="8" l="1"/>
  <c r="V30" i="5"/>
  <c r="V1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tc={AA7A32EB-5CD1-4474-AA87-593FD20258AA}</author>
    <author>tc={3BA1B78D-99C4-485B-B886-9F4F658A2925}</author>
    <author>tc={B37906D4-3410-4AB2-A649-77E64840746D}</author>
    <author>tc={949C3C28-84D9-4108-9BD6-1EEDE431276C}</author>
    <author>tc={7EB22EA0-302F-48E7-995D-35D0D27FF58C}</author>
    <author>tc={345FBB8E-FF5D-41B4-966D-9D17A60906A1}</author>
    <author>tc={479957FE-71E4-4D29-94E4-0EF877BE8C6A}</author>
    <author>tc={836CBCAA-7ADB-489A-A9DA-9455B89926F6}</author>
    <author>tc={3E80460B-A017-49CE-A53E-FDA2A9C8CAE8}</author>
    <author>tc={DFBFCB84-3532-4EFF-B172-950AC37FA87C}</author>
    <author>tc={58C94FA0-3681-4A6E-9C0A-E907B6BA60A0}</author>
    <author>tc={8A6AED4B-AC7F-4C67-8313-2D939053F4DB}</author>
    <author>tc={13A0A02A-82FD-4FF2-8202-64BA814DD888}</author>
    <author>tc={D96367E1-AD7F-4279-B4EB-1A7699583C95}</author>
    <author>tc={A91AED7B-D3EA-496E-BA13-3B70D801178E}</author>
    <author>tc={F00976FC-C0CB-4B93-A0E9-7D005AE3820B}</author>
  </authors>
  <commentList>
    <comment ref="N5" authorId="0" shapeId="0" xr:uid="{AA7A32EB-5CD1-4474-AA87-593FD20258AA}">
      <text>
        <t>[Trådad kommentar]
I din version av Excel kan du läsa den här trådade kommentaren, men eventuella ändringar i den tas bort om filen öppnas i en senare version av Excel. Läs mer: https://go.microsoft.com/fwlink/?linkid=870924
Kommentar:
    Q1 2022</t>
      </text>
    </comment>
    <comment ref="P14" authorId="1" shapeId="0" xr:uid="{3BA1B78D-99C4-485B-B886-9F4F658A2925}">
      <text>
        <t>[Trådad kommentar]
I din version av Excel kan du läsa den här trådade kommentaren, men eventuella ändringar i den tas bort om filen öppnas i en senare version av Excel. Läs mer: https://go.microsoft.com/fwlink/?linkid=870924
Kommentar:
    Q3 2023</t>
      </text>
    </comment>
    <comment ref="R14" authorId="2" shapeId="0" xr:uid="{B37906D4-3410-4AB2-A649-77E64840746D}">
      <text>
        <t>[Trådad kommentar]
I din version av Excel kan du läsa den här trådade kommentaren, men eventuella ändringar i den tas bort om filen öppnas i en senare version av Excel. Läs mer: https://go.microsoft.com/fwlink/?linkid=870924
Kommentar:
    Q1 2025</t>
      </text>
    </comment>
    <comment ref="L22" authorId="3" shapeId="0" xr:uid="{949C3C28-84D9-4108-9BD6-1EEDE431276C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2023-03-27</t>
      </text>
    </comment>
    <comment ref="M22" authorId="4" shapeId="0" xr:uid="{7EB22EA0-302F-48E7-995D-35D0D27FF58C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2023-04-05</t>
      </text>
    </comment>
    <comment ref="N22" authorId="5" shapeId="0" xr:uid="{345FBB8E-FF5D-41B4-966D-9D17A60906A1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2023-07-31</t>
      </text>
    </comment>
    <comment ref="K26" authorId="6" shapeId="0" xr:uid="{479957FE-71E4-4D29-94E4-0EF877BE8C6A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2023-03-06</t>
      </text>
    </comment>
    <comment ref="L26" authorId="7" shapeId="0" xr:uid="{836CBCAA-7ADB-489A-A9DA-9455B89926F6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2023-04-01</t>
      </text>
    </comment>
    <comment ref="O26" authorId="8" shapeId="0" xr:uid="{3E80460B-A017-49CE-A53E-FDA2A9C8CAE8}">
      <text>
        <t>[Trådad kommentar]
I din version av Excel kan du läsa den här trådade kommentaren, men eventuella ändringar i den tas bort om filen öppnas i en senare version av Excel. Läs mer: https://go.microsoft.com/fwlink/?linkid=870924
Kommentar:
    2024-01-10</t>
      </text>
    </comment>
    <comment ref="D27" authorId="9" shapeId="0" xr:uid="{DFBFCB84-3532-4EFF-B172-950AC37FA87C}">
      <text>
        <t>[Trådad kommentar]
I din version av Excel kan du läsa den här trådade kommentaren, men eventuella ändringar i den tas bort om filen öppnas i en senare version av Excel. Läs mer: https://go.microsoft.com/fwlink/?linkid=870924
Kommentar:
    2020-10-27</t>
      </text>
    </comment>
    <comment ref="E27" authorId="10" shapeId="0" xr:uid="{58C94FA0-3681-4A6E-9C0A-E907B6BA60A0}">
      <text>
        <t>[Trådad kommentar]
I din version av Excel kan du läsa den här trådade kommentaren, men eventuella ändringar i den tas bort om filen öppnas i en senare version av Excel. Läs mer: https://go.microsoft.com/fwlink/?linkid=870924
Kommentar:
    2021-01-12</t>
      </text>
    </comment>
    <comment ref="F27" authorId="11" shapeId="0" xr:uid="{8A6AED4B-AC7F-4C67-8313-2D939053F4DB}">
      <text>
        <t>[Trådad kommentar]
I din version av Excel kan du läsa den här trådade kommentaren, men eventuella ändringar i den tas bort om filen öppnas i en senare version av Excel. Läs mer: https://go.microsoft.com/fwlink/?linkid=870924
Kommentar:
    2021-04-20</t>
      </text>
    </comment>
    <comment ref="I27" authorId="12" shapeId="0" xr:uid="{13A0A02A-82FD-4FF2-8202-64BA814DD888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2023-03-07</t>
      </text>
    </comment>
    <comment ref="J27" authorId="13" shapeId="0" xr:uid="{D96367E1-AD7F-4279-B4EB-1A7699583C95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2023-04-03</t>
      </text>
    </comment>
    <comment ref="M27" authorId="14" shapeId="0" xr:uid="{A91AED7B-D3EA-496E-BA13-3B70D801178E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2023-10-12</t>
      </text>
    </comment>
    <comment ref="S27" authorId="15" shapeId="0" xr:uid="{F00976FC-C0CB-4B93-A0E9-7D005AE3820B}">
      <text>
        <t>[Trådad kommentar]
I din version av Excel kan du läsa den här trådade kommentaren, men eventuella ändringar i den tas bort om filen öppnas i en senare version av Excel. Läs mer: https://go.microsoft.com/fwlink/?linkid=870924
Kommentar:
    2025-04-10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tc={5573F846-6CF5-479B-84E5-0A6B308BA164}</author>
    <author>tc={DC650E57-9486-4112-A172-A7E44690B4DD}</author>
    <author>tc={E29B92F4-EEE3-4180-92B3-FF7A733CCECE}</author>
    <author>tc={1D387D13-692E-439F-A3E0-52513C916408}</author>
    <author>tc={5D5A5421-1F17-4F15-A084-6CDF1797F16E}</author>
    <author>tc={14C4A367-3CF9-4219-B4BC-2B06697B1A74}</author>
    <author>tc={DF8EB88E-863E-410E-BC11-114480183A9C}</author>
    <author>tc={C46D98A0-965C-4AFB-968A-7A8F527A9791}</author>
    <author>tc={852505B9-EB77-41B4-A643-840BAA256F96}</author>
    <author>tc={DF3E4B2D-6C0D-48B6-A58C-13A337AF7BF4}</author>
    <author>tc={3937880A-565C-444F-9ED0-3FACE558617A}</author>
    <author>tc={43BDAC4F-1842-4B17-B2AA-901D619102F6}</author>
    <author>tc={CCA25EB3-C7D9-49FA-A730-96489071C645}</author>
    <author>tc={4A3F297D-878E-4DA1-ADC1-970565279315}</author>
    <author>tc={D2152938-CD8F-416D-93E7-8484195CB5F1}</author>
    <author>tc={22CA2765-F8B4-4C1A-BBBD-61DE2375638B}</author>
    <author>tc={E1CE37BF-405E-4C5B-BE2C-6D1CF1611941}</author>
    <author>tc={1D423761-6A5D-4B4F-BB9F-4A79103B5BFE}</author>
    <author>tc={4EF1434D-2230-4596-9830-AB1AB17E0AA5}</author>
    <author>tc={5BF6B1C6-994B-4387-BED8-E694156A5C3A}</author>
    <author>tc={022F442D-5997-4F5C-A939-D506AA22C477}</author>
    <author>tc={61B5EA1B-8CF8-4DA1-8AC1-AB3123BFEB1D}</author>
    <author>tc={C9AFDB21-EF54-4381-A8D1-F154E42FDAA9}</author>
    <author>tc={3AF0DD3C-E8DC-4526-8861-92F21E0A7180}</author>
    <author>tc={155DF661-8F48-4A43-B4EE-3395FE67F801}</author>
    <author>tc={43C0586E-66E2-468E-9828-8EE9435EDD13}</author>
    <author>tc={99877642-B5AF-4E6F-9038-508D085D5D72}</author>
    <author>tc={1E90EB64-BB22-4C6E-8ECD-1333B46D5660}</author>
    <author>tc={946AB0E8-16BD-4A15-B43E-DBF72C9902CF}</author>
    <author>tc={A6A79AB7-4470-4C3A-913E-BA73E92336FE}</author>
  </authors>
  <commentList>
    <comment ref="L5" authorId="0" shapeId="0" xr:uid="{5573F846-6CF5-479B-84E5-0A6B308BA164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2023-03-27</t>
      </text>
    </comment>
    <comment ref="M5" authorId="1" shapeId="0" xr:uid="{DC650E57-9486-4112-A172-A7E44690B4DD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2023-04-05</t>
      </text>
    </comment>
    <comment ref="N5" authorId="2" shapeId="0" xr:uid="{E29B92F4-EEE3-4180-92B3-FF7A733CCECE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2023-07-31</t>
      </text>
    </comment>
    <comment ref="O5" authorId="3" shapeId="0" xr:uid="{1D387D13-692E-439F-A3E0-52513C916408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2023-10-01</t>
      </text>
    </comment>
    <comment ref="S5" authorId="4" shapeId="0" xr:uid="{5D5A5421-1F17-4F15-A084-6CDF1797F16E}">
      <text>
        <t>[Trådad kommentar]
I din version av Excel kan du läsa den här trådade kommentaren, men eventuella ändringar i den tas bort om filen öppnas i en senare version av Excel. Läs mer: https://go.microsoft.com/fwlink/?linkid=870924
Kommentar:
    2024-11-28</t>
      </text>
    </comment>
    <comment ref="T5" authorId="5" shapeId="0" xr:uid="{14C4A367-3CF9-4219-B4BC-2B06697B1A74}">
      <text>
        <t>[Trådad kommentar]
I din version av Excel kan du läsa den här trådade kommentaren, men eventuella ändringar i den tas bort om filen öppnas i en senare version av Excel. Läs mer: https://go.microsoft.com/fwlink/?linkid=870924
Kommentar:
    2025-02-28</t>
      </text>
    </comment>
    <comment ref="U5" authorId="6" shapeId="0" xr:uid="{DF8EB88E-863E-410E-BC11-114480183A9C}">
      <text>
        <t>[Trådad kommentar]
I din version av Excel kan du läsa den här trådade kommentaren, men eventuella ändringar i den tas bort om filen öppnas i en senare version av Excel. Läs mer: https://go.microsoft.com/fwlink/?linkid=870924
Kommentar:
    2025-06-02</t>
      </text>
    </comment>
    <comment ref="S6" authorId="7" shapeId="0" xr:uid="{C46D98A0-965C-4AFB-968A-7A8F527A9791}">
      <text>
        <t>[Trådad kommentar]
I din version av Excel kan du läsa den här trådade kommentaren, men eventuella ändringar i den tas bort om filen öppnas i en senare version av Excel. Läs mer: https://go.microsoft.com/fwlink/?linkid=870924
Kommentar:
    2025-02-28</t>
      </text>
    </comment>
    <comment ref="H9" authorId="8" shapeId="0" xr:uid="{852505B9-EB77-41B4-A643-840BAA256F96}">
      <text>
        <t>[Trådad kommentar]
I din version av Excel kan du läsa den här trådade kommentaren, men eventuella ändringar i den tas bort om filen öppnas i en senare version av Excel. Läs mer: https://go.microsoft.com/fwlink/?linkid=870924
Kommentar:
    2021-06-16</t>
      </text>
    </comment>
    <comment ref="K9" authorId="9" shapeId="0" xr:uid="{DF3E4B2D-6C0D-48B6-A58C-13A337AF7BF4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2023-03-06</t>
      </text>
    </comment>
    <comment ref="L9" authorId="10" shapeId="0" xr:uid="{3937880A-565C-444F-9ED0-3FACE558617A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2023-04-01</t>
      </text>
    </comment>
    <comment ref="N9" authorId="11" shapeId="0" xr:uid="{43BDAC4F-1842-4B17-B2AA-901D619102F6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2023-07-31</t>
      </text>
    </comment>
    <comment ref="O9" authorId="12" shapeId="0" xr:uid="{CCA25EB3-C7D9-49FA-A730-96489071C645}">
      <text>
        <t>[Trådad kommentar]
I din version av Excel kan du läsa den här trådade kommentaren, men eventuella ändringar i den tas bort om filen öppnas i en senare version av Excel. Läs mer: https://go.microsoft.com/fwlink/?linkid=870924
Kommentar:
    2024-01-10</t>
      </text>
    </comment>
    <comment ref="P9" authorId="13" shapeId="0" xr:uid="{4A3F297D-878E-4DA1-ADC1-970565279315}">
      <text>
        <t>[Trådad kommentar]
I din version av Excel kan du läsa den här trådade kommentaren, men eventuella ändringar i den tas bort om filen öppnas i en senare version av Excel. Läs mer: https://go.microsoft.com/fwlink/?linkid=870924
Kommentar:
    2024-04-02</t>
      </text>
    </comment>
    <comment ref="D10" authorId="14" shapeId="0" xr:uid="{D2152938-CD8F-416D-93E7-8484195CB5F1}">
      <text>
        <t>[Trådad kommentar]
I din version av Excel kan du läsa den här trådade kommentaren, men eventuella ändringar i den tas bort om filen öppnas i en senare version av Excel. Läs mer: https://go.microsoft.com/fwlink/?linkid=870924
Kommentar:
    2020-10-27</t>
      </text>
    </comment>
    <comment ref="E10" authorId="15" shapeId="0" xr:uid="{22CA2765-F8B4-4C1A-BBBD-61DE2375638B}">
      <text>
        <t>[Trådad kommentar]
I din version av Excel kan du läsa den här trådade kommentaren, men eventuella ändringar i den tas bort om filen öppnas i en senare version av Excel. Läs mer: https://go.microsoft.com/fwlink/?linkid=870924
Kommentar:
    2021-01-12</t>
      </text>
    </comment>
    <comment ref="F10" authorId="16" shapeId="0" xr:uid="{E1CE37BF-405E-4C5B-BE2C-6D1CF1611941}">
      <text>
        <t>[Trådad kommentar]
I din version av Excel kan du läsa den här trådade kommentaren, men eventuella ändringar i den tas bort om filen öppnas i en senare version av Excel. Läs mer: https://go.microsoft.com/fwlink/?linkid=870924
Kommentar:
    2021-04-20</t>
      </text>
    </comment>
    <comment ref="G10" authorId="17" shapeId="0" xr:uid="{1D423761-6A5D-4B4F-BB9F-4A79103B5BFE}">
      <text>
        <t>[Trådad kommentar]
I din version av Excel kan du läsa den här trådade kommentaren, men eventuella ändringar i den tas bort om filen öppnas i en senare version av Excel. Läs mer: https://go.microsoft.com/fwlink/?linkid=870924
Kommentar:
    2021-12-17</t>
      </text>
    </comment>
    <comment ref="I10" authorId="18" shapeId="0" xr:uid="{4EF1434D-2230-4596-9830-AB1AB17E0AA5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2023-03-07</t>
      </text>
    </comment>
    <comment ref="J10" authorId="19" shapeId="0" xr:uid="{5BF6B1C6-994B-4387-BED8-E694156A5C3A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2023-04-03</t>
      </text>
    </comment>
    <comment ref="K10" authorId="20" shapeId="0" xr:uid="{022F442D-5997-4F5C-A939-D506AA22C477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2023-05-15</t>
      </text>
    </comment>
    <comment ref="L10" authorId="21" shapeId="0" xr:uid="{61B5EA1B-8CF8-4DA1-8AC1-AB3123BFEB1D}">
      <text>
        <t xml:space="preserve">[Trådad kommentar]
I din version av Excel kan du läsa den här trådade kommentaren, men eventuella ändringar i den tas bort om filen öppnas i en senare version av Excel. Läs mer: https://go.microsoft.com/fwlink/?linkid=870924
Kommentar:
    2023-08-16
</t>
      </text>
    </comment>
    <comment ref="M10" authorId="22" shapeId="0" xr:uid="{C9AFDB21-EF54-4381-A8D1-F154E42FDAA9}">
      <text>
        <t>[Trådad kommentar]
I din version av Excel kan du läsa den här trådade kommentaren, men eventuella ändringar i den tas bort om filen öppnas i en senare version av Excel. Läs mer: https://go.microsoft.com/fwlink/?linkid=870924
Kommentar:
    2023-10-12</t>
      </text>
    </comment>
    <comment ref="O10" authorId="23" shapeId="0" xr:uid="{3AF0DD3C-E8DC-4526-8861-92F21E0A7180}">
      <text>
        <t>[Trådad kommentar]
I din version av Excel kan du läsa den här trådade kommentaren, men eventuella ändringar i den tas bort om filen öppnas i en senare version av Excel. Läs mer: https://go.microsoft.com/fwlink/?linkid=870924
Kommentar:
    2024-03-26</t>
      </text>
    </comment>
    <comment ref="P10" authorId="24" shapeId="0" xr:uid="{155DF661-8F48-4A43-B4EE-3395FE67F801}">
      <text>
        <t>[Trådad kommentar]
I din version av Excel kan du läsa den här trådade kommentaren, men eventuella ändringar i den tas bort om filen öppnas i en senare version av Excel. Läs mer: https://go.microsoft.com/fwlink/?linkid=870924
Kommentar:
    2024-06-24</t>
      </text>
    </comment>
    <comment ref="Q10" authorId="25" shapeId="0" xr:uid="{43C0586E-66E2-468E-9828-8EE9435EDD13}">
      <text>
        <t>[Trådad kommentar]
I din version av Excel kan du läsa den här trådade kommentaren, men eventuella ändringar i den tas bort om filen öppnas i en senare version av Excel. Läs mer: https://go.microsoft.com/fwlink/?linkid=870924
Kommentar:
    2024-09-24</t>
      </text>
    </comment>
    <comment ref="R10" authorId="26" shapeId="0" xr:uid="{99877642-B5AF-4E6F-9038-508D085D5D72}">
      <text>
        <t>[Trådad kommentar]
I din version av Excel kan du läsa den här trådade kommentaren, men eventuella ändringar i den tas bort om filen öppnas i en senare version av Excel. Läs mer: https://go.microsoft.com/fwlink/?linkid=870924
Kommentar:
    2025-01-09</t>
      </text>
    </comment>
    <comment ref="S10" authorId="27" shapeId="0" xr:uid="{1E90EB64-BB22-4C6E-8ECD-1333B46D5660}">
      <text>
        <t>[Trådad kommentar]
I din version av Excel kan du läsa den här trådade kommentaren, men eventuella ändringar i den tas bort om filen öppnas i en senare version av Excel. Läs mer: https://go.microsoft.com/fwlink/?linkid=870924
Kommentar:
    2025-04-10</t>
      </text>
    </comment>
    <comment ref="R11" authorId="28" shapeId="0" xr:uid="{946AB0E8-16BD-4A15-B43E-DBF72C9902CF}">
      <text>
        <t>[Trådad kommentar]
I din version av Excel kan du läsa den här trådade kommentaren, men eventuella ändringar i den tas bort om filen öppnas i en senare version av Excel. Läs mer: https://go.microsoft.com/fwlink/?linkid=870924
Kommentar:
    2024-11-21</t>
      </text>
    </comment>
    <comment ref="S11" authorId="29" shapeId="0" xr:uid="{A6A79AB7-4470-4C3A-913E-BA73E92336FE}">
      <text>
        <t>[Trådad kommentar]
I din version av Excel kan du läsa den här trådade kommentaren, men eventuella ändringar i den tas bort om filen öppnas i en senare version av Excel. Läs mer: https://go.microsoft.com/fwlink/?linkid=870924
Kommentar:
    2025-02-26</t>
      </text>
    </comment>
  </commentList>
</comments>
</file>

<file path=xl/sharedStrings.xml><?xml version="1.0" encoding="utf-8"?>
<sst xmlns="http://schemas.openxmlformats.org/spreadsheetml/2006/main" count="171" uniqueCount="75">
  <si>
    <t>Dessa tabeller syftar på att sammanställa samtliga blodblykontroller som är genomförda på medarbetare inom Stena Recycling som kan vara exponerade för bly.</t>
  </si>
  <si>
    <t>Sammanställning  samtliga biologiska exponeringskontroller 2020 - 2025, kvinnor under 50 år</t>
  </si>
  <si>
    <t xml:space="preserve">Observera att vissa personer har slutat, samt att dessa mätningar endast återspeglar resultatet av de mätningar som har genomförts under perioden 2020 till dags dato, oavsett när de har genomförts. </t>
  </si>
  <si>
    <t>Avd.</t>
  </si>
  <si>
    <t>Avd/ Person</t>
  </si>
  <si>
    <t>Halt bly i blod µmol/L</t>
  </si>
  <si>
    <r>
      <t xml:space="preserve">Medel 
</t>
    </r>
    <r>
      <rPr>
        <b/>
        <sz val="11"/>
        <color theme="1"/>
        <rFont val="Aptos Narrow"/>
        <family val="2"/>
        <scheme val="minor"/>
      </rPr>
      <t>µmol/L</t>
    </r>
  </si>
  <si>
    <t>PMR</t>
  </si>
  <si>
    <t xml:space="preserve">PMR /person 1 </t>
  </si>
  <si>
    <t>PMR /person 2</t>
  </si>
  <si>
    <t>PMR /person 3</t>
  </si>
  <si>
    <t>PMR /person 4</t>
  </si>
  <si>
    <t>PMR /person 5</t>
  </si>
  <si>
    <t>FT</t>
  </si>
  <si>
    <t>FT / person 1</t>
  </si>
  <si>
    <t>FT / person 2</t>
  </si>
  <si>
    <t>FT / person 3</t>
  </si>
  <si>
    <t>FT / person 4</t>
  </si>
  <si>
    <t>FT / person 5</t>
  </si>
  <si>
    <t>FT / person 6</t>
  </si>
  <si>
    <t>FT / person 7</t>
  </si>
  <si>
    <t>FT / person 8</t>
  </si>
  <si>
    <t>FT / person 9</t>
  </si>
  <si>
    <t>FT / person 10</t>
  </si>
  <si>
    <t>FT / person 11</t>
  </si>
  <si>
    <t>FT / person 12</t>
  </si>
  <si>
    <t>NF</t>
  </si>
  <si>
    <t>NF/ person 1</t>
  </si>
  <si>
    <t xml:space="preserve">NF/ person 2 </t>
  </si>
  <si>
    <t>NF / person 3</t>
  </si>
  <si>
    <t>NF / person 4</t>
  </si>
  <si>
    <t>NF/ person 5</t>
  </si>
  <si>
    <t>NF/ person 6</t>
  </si>
  <si>
    <t>NF/ person 7</t>
  </si>
  <si>
    <t>NF/ person 8</t>
  </si>
  <si>
    <t>Rött= över gränsvärde 0,5 mikromol / l blod</t>
  </si>
  <si>
    <t>Medelvärde totalt</t>
  </si>
  <si>
    <t xml:space="preserve">Grön = under gränsvärdet, &lt;0,5 mikromol / l blod </t>
  </si>
  <si>
    <t>Medelvärde PMR</t>
  </si>
  <si>
    <t>Medelvärde FT</t>
  </si>
  <si>
    <t>Medelvärde NF</t>
  </si>
  <si>
    <t>Dessa mätningar endast återspeglar resultatet av de mätningar som har genomförts under perioden 2020 till dags dato, oavsett när de har genomförts. Observera att vissa personer har slutat sin anställning.</t>
  </si>
  <si>
    <t>Sensor</t>
  </si>
  <si>
    <t>Flotation</t>
  </si>
  <si>
    <t>AL</t>
  </si>
  <si>
    <t>Gul = förhöjda värden 0,35-0,49 mikromol / l blod OBS! Riktvärde satt  tillsammans med läkare Anonova</t>
  </si>
  <si>
    <t xml:space="preserve">Grön = &lt;0,34 mikromol / l blod </t>
  </si>
  <si>
    <t>Person</t>
  </si>
  <si>
    <t xml:space="preserve">person 1 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</si>
  <si>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</si>
  <si>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</si>
  <si>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</si>
  <si>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</si>
  <si>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</si>
  <si>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</si>
  <si>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</si>
  <si>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</si>
  <si>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</si>
  <si>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</si>
  <si>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</si>
  <si>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Rött= över gränsvärde 1,5 mikromol / l blod</t>
  </si>
  <si>
    <t xml:space="preserve">Gul = förhöjda värden 1-1,49 mikromol / l blod </t>
  </si>
  <si>
    <t xml:space="preserve">Grön = &lt;1 mikromol / l blod </t>
  </si>
  <si>
    <t xml:space="preserve">Dessa mätningar återspeglar resultatet av de mätningar som har genomförts under perioden 2020 till dags dato, oavsett när de har genomförts. </t>
  </si>
  <si>
    <t>Medelvärde NF Flotation</t>
  </si>
  <si>
    <t>Gul = förhöjda värden 1-1,49 mikromol / l blod OBS! Riktvärde satt  tillsammans med läkare Anonova</t>
  </si>
  <si>
    <t xml:space="preserve">OBS! Dessa är endast mätresultat. Vilka individer som avses saknas i den information som inkom. </t>
  </si>
  <si>
    <t>NF Sensor - Biologiska exponeringskontroller 2020 - 2025, män (har inga kvinnor &gt;50)</t>
  </si>
  <si>
    <t>person 13</t>
  </si>
  <si>
    <t>person 14</t>
  </si>
  <si>
    <t>Sammanställning  samtliga biologiska exponeringskontroller 2020 - 2025, kvinnor under 50 år*</t>
  </si>
  <si>
    <t>*Compilation of all biological exposure controls 2020–2025, women under 50 years of age</t>
  </si>
  <si>
    <t>NF Flotation - Biologiska exponeringskontroller 2020 - 2025,män och kvinnor 50+*</t>
  </si>
  <si>
    <t>*Compilation of biological exposure controls 2020–2025, men and women aged 50+</t>
  </si>
  <si>
    <t>*Compilation of biological exposure controls 2020–2025, men and women aged 50+. There are no women under 50 at this workplace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</si>
</sst>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11">
    <xf numFmtId="0" fontId="0" fillId="0" borderId="0" xfId="0"/>
    <xf numFmtId="0" fontId="0" fillId="0" borderId="1" xfId="0" applyBorder="1"/>
    <xf numFmtId="0" fontId="0" fillId="0" borderId="7" xfId="0" applyBorder="1"/>
    <xf numFmtId="0" fontId="0" fillId="3" borderId="0" xfId="0" applyFill="1"/>
    <xf numFmtId="0" fontId="0" fillId="2" borderId="0" xfId="0" applyFill="1"/>
    <xf numFmtId="0" fontId="0" fillId="4" borderId="0" xfId="0" applyFill="1"/>
    <xf numFmtId="0" fontId="5" fillId="0" borderId="0" xfId="0" applyFont="1"/>
    <xf numFmtId="0" fontId="6" fillId="0" borderId="0" xfId="0" applyFont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2" fontId="0" fillId="3" borderId="1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3" fillId="0" borderId="1" xfId="1" applyNumberFormat="1" applyFont="1" applyBorder="1"/>
    <xf numFmtId="2" fontId="0" fillId="4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4" fillId="5" borderId="2" xfId="0" applyNumberFormat="1" applyFont="1" applyFill="1" applyBorder="1" applyAlignment="1">
      <alignment horizontal="center"/>
    </xf>
    <xf numFmtId="2" fontId="0" fillId="0" borderId="10" xfId="0" applyNumberFormat="1" applyBorder="1"/>
    <xf numFmtId="2" fontId="0" fillId="3" borderId="10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2" fontId="0" fillId="0" borderId="17" xfId="0" applyNumberFormat="1" applyBorder="1"/>
    <xf numFmtId="2" fontId="0" fillId="3" borderId="17" xfId="0" applyNumberFormat="1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2" fontId="1" fillId="4" borderId="20" xfId="0" applyNumberFormat="1" applyFont="1" applyFill="1" applyBorder="1" applyAlignment="1">
      <alignment horizontal="center"/>
    </xf>
    <xf numFmtId="2" fontId="1" fillId="3" borderId="15" xfId="0" applyNumberFormat="1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5" fillId="3" borderId="21" xfId="0" applyNumberFormat="1" applyFont="1" applyFill="1" applyBorder="1" applyAlignment="1">
      <alignment horizontal="center"/>
    </xf>
    <xf numFmtId="2" fontId="5" fillId="3" borderId="24" xfId="0" applyNumberFormat="1" applyFont="1" applyFill="1" applyBorder="1" applyAlignment="1">
      <alignment horizontal="center"/>
    </xf>
    <xf numFmtId="2" fontId="5" fillId="3" borderId="15" xfId="0" applyNumberFormat="1" applyFont="1" applyFill="1" applyBorder="1" applyAlignment="1">
      <alignment horizontal="center"/>
    </xf>
    <xf numFmtId="0" fontId="5" fillId="6" borderId="22" xfId="0" applyFont="1" applyFill="1" applyBorder="1"/>
    <xf numFmtId="0" fontId="8" fillId="6" borderId="23" xfId="0" applyFont="1" applyFill="1" applyBorder="1"/>
    <xf numFmtId="0" fontId="5" fillId="6" borderId="8" xfId="0" applyFont="1" applyFill="1" applyBorder="1"/>
    <xf numFmtId="0" fontId="0" fillId="6" borderId="1" xfId="0" applyFill="1" applyBorder="1"/>
    <xf numFmtId="0" fontId="5" fillId="6" borderId="9" xfId="0" applyFont="1" applyFill="1" applyBorder="1"/>
    <xf numFmtId="0" fontId="0" fillId="6" borderId="10" xfId="0" applyFill="1" applyBorder="1"/>
    <xf numFmtId="0" fontId="0" fillId="6" borderId="25" xfId="0" applyFill="1" applyBorder="1" applyAlignment="1">
      <alignment horizontal="center"/>
    </xf>
    <xf numFmtId="2" fontId="0" fillId="0" borderId="4" xfId="0" applyNumberFormat="1" applyBorder="1"/>
    <xf numFmtId="2" fontId="0" fillId="0" borderId="4" xfId="0" applyNumberFormat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26" xfId="0" applyNumberFormat="1" applyFill="1" applyBorder="1" applyAlignment="1">
      <alignment horizontal="center"/>
    </xf>
    <xf numFmtId="2" fontId="1" fillId="3" borderId="21" xfId="0" applyNumberFormat="1" applyFont="1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2" fontId="0" fillId="0" borderId="23" xfId="0" applyNumberFormat="1" applyBorder="1"/>
    <xf numFmtId="2" fontId="0" fillId="0" borderId="23" xfId="0" applyNumberFormat="1" applyBorder="1" applyAlignment="1">
      <alignment horizontal="center"/>
    </xf>
    <xf numFmtId="2" fontId="0" fillId="3" borderId="23" xfId="0" applyNumberFormat="1" applyFill="1" applyBorder="1" applyAlignment="1">
      <alignment horizontal="center"/>
    </xf>
    <xf numFmtId="2" fontId="0" fillId="2" borderId="23" xfId="0" applyNumberFormat="1" applyFill="1" applyBorder="1" applyAlignment="1">
      <alignment horizontal="center"/>
    </xf>
    <xf numFmtId="2" fontId="0" fillId="4" borderId="23" xfId="0" applyNumberFormat="1" applyFill="1" applyBorder="1" applyAlignment="1">
      <alignment horizontal="center"/>
    </xf>
    <xf numFmtId="2" fontId="0" fillId="4" borderId="27" xfId="0" applyNumberFormat="1" applyFill="1" applyBorder="1" applyAlignment="1">
      <alignment horizontal="center"/>
    </xf>
    <xf numFmtId="2" fontId="1" fillId="4" borderId="28" xfId="0" applyNumberFormat="1" applyFont="1" applyFill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1" fillId="3" borderId="34" xfId="0" applyNumberFormat="1" applyFont="1" applyFill="1" applyBorder="1" applyAlignment="1">
      <alignment horizontal="center"/>
    </xf>
    <xf numFmtId="2" fontId="0" fillId="3" borderId="27" xfId="0" applyNumberForma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9" fillId="6" borderId="29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vertical="center"/>
    </xf>
    <xf numFmtId="0" fontId="9" fillId="6" borderId="31" xfId="0" applyFont="1" applyFill="1" applyBorder="1" applyAlignment="1">
      <alignment vertical="center"/>
    </xf>
    <xf numFmtId="0" fontId="9" fillId="6" borderId="24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6" borderId="19" xfId="0" applyFont="1" applyFill="1" applyBorder="1"/>
    <xf numFmtId="0" fontId="5" fillId="6" borderId="35" xfId="0" applyFont="1" applyFill="1" applyBorder="1"/>
    <xf numFmtId="0" fontId="9" fillId="6" borderId="30" xfId="0" applyFon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2" fontId="5" fillId="3" borderId="41" xfId="0" applyNumberFormat="1" applyFont="1" applyFill="1" applyBorder="1" applyAlignment="1">
      <alignment horizontal="center"/>
    </xf>
    <xf numFmtId="2" fontId="1" fillId="0" borderId="38" xfId="0" applyNumberFormat="1" applyFont="1" applyBorder="1" applyAlignment="1">
      <alignment horizontal="center"/>
    </xf>
    <xf numFmtId="2" fontId="1" fillId="0" borderId="39" xfId="0" applyNumberFormat="1" applyFont="1" applyBorder="1" applyAlignment="1">
      <alignment horizontal="center"/>
    </xf>
    <xf numFmtId="0" fontId="9" fillId="6" borderId="23" xfId="0" applyFont="1" applyFill="1" applyBorder="1" applyAlignment="1">
      <alignment vertical="center"/>
    </xf>
    <xf numFmtId="0" fontId="0" fillId="0" borderId="10" xfId="0" applyBorder="1"/>
    <xf numFmtId="2" fontId="4" fillId="0" borderId="1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2" fontId="5" fillId="0" borderId="36" xfId="0" applyNumberFormat="1" applyFont="1" applyBorder="1" applyAlignment="1">
      <alignment horizontal="center"/>
    </xf>
    <xf numFmtId="0" fontId="9" fillId="6" borderId="28" xfId="0" applyFont="1" applyFill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0" fontId="9" fillId="6" borderId="28" xfId="0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0" fontId="5" fillId="6" borderId="43" xfId="0" applyFont="1" applyFill="1" applyBorder="1"/>
    <xf numFmtId="0" fontId="9" fillId="6" borderId="40" xfId="0" applyFont="1" applyFill="1" applyBorder="1" applyAlignment="1">
      <alignment vertical="center"/>
    </xf>
    <xf numFmtId="2" fontId="4" fillId="0" borderId="3" xfId="0" applyNumberFormat="1" applyFont="1" applyBorder="1" applyAlignment="1">
      <alignment horizontal="center"/>
    </xf>
    <xf numFmtId="2" fontId="0" fillId="0" borderId="42" xfId="0" applyNumberFormat="1" applyBorder="1"/>
    <xf numFmtId="0" fontId="1" fillId="6" borderId="20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1" fillId="0" borderId="0" xfId="0" applyFont="1"/>
    <xf numFmtId="0" fontId="9" fillId="6" borderId="32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9" fillId="6" borderId="23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5" fillId="0" borderId="0" xfId="0" applyFont="1" applyFill="1" applyBorder="1"/>
    <xf numFmtId="0" fontId="0" fillId="0" borderId="0" xfId="0" applyFill="1" applyBorder="1"/>
    <xf numFmtId="2" fontId="5" fillId="0" borderId="0" xfId="0" applyNumberFormat="1" applyFont="1" applyFill="1" applyBorder="1" applyAlignment="1">
      <alignment horizontal="center"/>
    </xf>
    <xf numFmtId="0" fontId="5" fillId="6" borderId="17" xfId="0" applyFont="1" applyFill="1" applyBorder="1"/>
    <xf numFmtId="0" fontId="8" fillId="6" borderId="17" xfId="0" applyFont="1" applyFill="1" applyBorder="1"/>
    <xf numFmtId="2" fontId="5" fillId="3" borderId="16" xfId="0" applyNumberFormat="1" applyFont="1" applyFill="1" applyBorder="1" applyAlignment="1">
      <alignment horizontal="center"/>
    </xf>
  </cellXfs>
  <cellStyles count="2">
    <cellStyle name="Normal" xfId="0" builtinId="0"/>
    <cellStyle name="Normal 2 3" xfId="1" xr:uid="{C6782D27-BEBC-4960-8777-8CAEEF9D8131}"/>
  </cellStyles>
  <dxfs count="2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my Eriksson" id="{643550F7-9ECF-4336-AEE4-771AA6DE6B0E}" userId="S::tommy.eriksson@stenarecycling.se::2488113e-d243-4a9d-a784-04d8b95f842e" providerId="AD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5" dT="2025-11-27T06:43:09.60" personId="{643550F7-9ECF-4336-AEE4-771AA6DE6B0E}" id="{AA7A32EB-5CD1-4474-AA87-593FD20258AA}">
    <text>Q1 2022</text>
  </threadedComment>
  <threadedComment ref="P14" dT="2025-11-27T06:34:36.03" personId="{643550F7-9ECF-4336-AEE4-771AA6DE6B0E}" id="{3BA1B78D-99C4-485B-B886-9F4F658A2925}">
    <text>Q3 2023</text>
  </threadedComment>
  <threadedComment ref="R14" dT="2025-11-27T07:08:27.66" personId="{643550F7-9ECF-4336-AEE4-771AA6DE6B0E}" id="{B37906D4-3410-4AB2-A649-77E64840746D}">
    <text>Q1 2025</text>
  </threadedComment>
  <threadedComment ref="L22" dT="2025-11-27T06:42:14.84" personId="{643550F7-9ECF-4336-AEE4-771AA6DE6B0E}" id="{949C3C28-84D9-4108-9BD6-1EEDE431276C}">
    <text>2023-03-27</text>
  </threadedComment>
  <threadedComment ref="M22" dT="2025-11-27T06:45:45.46" personId="{643550F7-9ECF-4336-AEE4-771AA6DE6B0E}" id="{7EB22EA0-302F-48E7-995D-35D0D27FF58C}">
    <text>2023-04-05</text>
  </threadedComment>
  <threadedComment ref="N22" dT="2025-11-27T06:42:36.84" personId="{643550F7-9ECF-4336-AEE4-771AA6DE6B0E}" id="{345FBB8E-FF5D-41B4-966D-9D17A60906A1}">
    <text>2023-07-31</text>
  </threadedComment>
  <threadedComment ref="K26" dT="2025-11-27T06:37:18.74" personId="{643550F7-9ECF-4336-AEE4-771AA6DE6B0E}" id="{479957FE-71E4-4D29-94E4-0EF877BE8C6A}">
    <text>2023-03-06</text>
  </threadedComment>
  <threadedComment ref="L26" dT="2025-11-27T06:36:35.60" personId="{643550F7-9ECF-4336-AEE4-771AA6DE6B0E}" id="{836CBCAA-7ADB-489A-A9DA-9455B89926F6}">
    <text>2023-04-01</text>
  </threadedComment>
  <threadedComment ref="O26" dT="2025-11-27T06:35:15.76" personId="{643550F7-9ECF-4336-AEE4-771AA6DE6B0E}" id="{3E80460B-A017-49CE-A53E-FDA2A9C8CAE8}">
    <text>2024-01-10</text>
  </threadedComment>
  <threadedComment ref="D27" dT="2025-11-27T06:39:50.09" personId="{643550F7-9ECF-4336-AEE4-771AA6DE6B0E}" id="{DFBFCB84-3532-4EFF-B172-950AC37FA87C}">
    <text>2020-10-27</text>
  </threadedComment>
  <threadedComment ref="E27" dT="2025-11-27T06:40:12.04" personId="{643550F7-9ECF-4336-AEE4-771AA6DE6B0E}" id="{58C94FA0-3681-4A6E-9C0A-E907B6BA60A0}">
    <text>2021-01-12</text>
  </threadedComment>
  <threadedComment ref="F27" dT="2025-11-27T06:40:34.42" personId="{643550F7-9ECF-4336-AEE4-771AA6DE6B0E}" id="{8A6AED4B-AC7F-4C67-8313-2D939053F4DB}">
    <text>2021-04-20</text>
  </threadedComment>
  <threadedComment ref="I27" dT="2025-11-27T06:39:18.41" personId="{643550F7-9ECF-4336-AEE4-771AA6DE6B0E}" id="{13A0A02A-82FD-4FF2-8202-64BA814DD888}">
    <text>2023-03-07</text>
  </threadedComment>
  <threadedComment ref="J27" dT="2025-11-27T06:38:45.40" personId="{643550F7-9ECF-4336-AEE4-771AA6DE6B0E}" id="{D96367E1-AD7F-4279-B4EB-1A7699583C95}">
    <text>2023-04-03</text>
  </threadedComment>
  <threadedComment ref="M27" dT="2025-11-27T06:37:54.97" personId="{643550F7-9ECF-4336-AEE4-771AA6DE6B0E}" id="{A91AED7B-D3EA-496E-BA13-3B70D801178E}">
    <text>2023-10-12</text>
  </threadedComment>
  <threadedComment ref="S27" dT="2025-11-27T06:33:25.55" personId="{643550F7-9ECF-4336-AEE4-771AA6DE6B0E}" id="{F00976FC-C0CB-4B93-A0E9-7D005AE3820B}">
    <text>2025-04-10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5" dT="2025-11-27T06:42:14.84" personId="{643550F7-9ECF-4336-AEE4-771AA6DE6B0E}" id="{5573F846-6CF5-479B-84E5-0A6B308BA164}">
    <text>2023-03-27</text>
  </threadedComment>
  <threadedComment ref="M5" dT="2025-11-27T06:45:45.46" personId="{643550F7-9ECF-4336-AEE4-771AA6DE6B0E}" id="{DC650E57-9486-4112-A172-A7E44690B4DD}">
    <text>2023-04-05</text>
  </threadedComment>
  <threadedComment ref="N5" dT="2025-11-27T06:42:36.84" personId="{643550F7-9ECF-4336-AEE4-771AA6DE6B0E}" id="{E29B92F4-EEE3-4180-92B3-FF7A733CCECE}">
    <text>2023-07-31</text>
  </threadedComment>
  <threadedComment ref="O5" dT="2025-11-27T06:51:35.34" personId="{643550F7-9ECF-4336-AEE4-771AA6DE6B0E}" id="{1D387D13-692E-439F-A3E0-52513C916408}">
    <text>2023-10-01</text>
  </threadedComment>
  <threadedComment ref="S5" dT="2025-11-27T07:06:18.02" personId="{643550F7-9ECF-4336-AEE4-771AA6DE6B0E}" id="{5D5A5421-1F17-4F15-A084-6CDF1797F16E}">
    <text>2024-11-28</text>
  </threadedComment>
  <threadedComment ref="T5" dT="2025-11-27T07:06:40.44" personId="{643550F7-9ECF-4336-AEE4-771AA6DE6B0E}" id="{14C4A367-3CF9-4219-B4BC-2B06697B1A74}">
    <text>2025-02-28</text>
  </threadedComment>
  <threadedComment ref="U5" dT="2025-11-27T07:07:00.82" personId="{643550F7-9ECF-4336-AEE4-771AA6DE6B0E}" id="{DF8EB88E-863E-410E-BC11-114480183A9C}">
    <text>2025-06-02</text>
  </threadedComment>
  <threadedComment ref="S6" dT="2025-11-27T07:05:30.14" personId="{643550F7-9ECF-4336-AEE4-771AA6DE6B0E}" id="{C46D98A0-965C-4AFB-968A-7A8F527A9791}">
    <text>2025-02-28</text>
  </threadedComment>
  <threadedComment ref="H9" dT="2025-11-27T07:04:46.45" personId="{643550F7-9ECF-4336-AEE4-771AA6DE6B0E}" id="{852505B9-EB77-41B4-A643-840BAA256F96}">
    <text>2021-06-16</text>
  </threadedComment>
  <threadedComment ref="K9" dT="2025-11-27T06:37:18.74" personId="{643550F7-9ECF-4336-AEE4-771AA6DE6B0E}" id="{DF3E4B2D-6C0D-48B6-A58C-13A337AF7BF4}">
    <text>2023-03-06</text>
  </threadedComment>
  <threadedComment ref="L9" dT="2025-11-27T06:36:35.60" personId="{643550F7-9ECF-4336-AEE4-771AA6DE6B0E}" id="{3937880A-565C-444F-9ED0-3FACE558617A}">
    <text>2023-04-01</text>
  </threadedComment>
  <threadedComment ref="N9" dT="2025-11-27T06:52:23.69" personId="{643550F7-9ECF-4336-AEE4-771AA6DE6B0E}" id="{43BDAC4F-1842-4B17-B2AA-901D619102F6}">
    <text>2023-07-31</text>
  </threadedComment>
  <threadedComment ref="O9" dT="2025-11-27T06:35:15.76" personId="{643550F7-9ECF-4336-AEE4-771AA6DE6B0E}" id="{CCA25EB3-C7D9-49FA-A730-96489071C645}">
    <text>2024-01-10</text>
  </threadedComment>
  <threadedComment ref="P9" dT="2025-11-27T06:57:05.21" personId="{643550F7-9ECF-4336-AEE4-771AA6DE6B0E}" id="{4A3F297D-878E-4DA1-ADC1-970565279315}">
    <text>2024-04-02</text>
  </threadedComment>
  <threadedComment ref="D10" dT="2025-11-27T06:39:50.09" personId="{643550F7-9ECF-4336-AEE4-771AA6DE6B0E}" id="{D2152938-CD8F-416D-93E7-8484195CB5F1}">
    <text>2020-10-27</text>
  </threadedComment>
  <threadedComment ref="E10" dT="2025-11-27T06:40:12.04" personId="{643550F7-9ECF-4336-AEE4-771AA6DE6B0E}" id="{22CA2765-F8B4-4C1A-BBBD-61DE2375638B}">
    <text>2021-01-12</text>
  </threadedComment>
  <threadedComment ref="F10" dT="2025-11-27T06:40:34.42" personId="{643550F7-9ECF-4336-AEE4-771AA6DE6B0E}" id="{E1CE37BF-405E-4C5B-BE2C-6D1CF1611941}">
    <text>2021-04-20</text>
  </threadedComment>
  <threadedComment ref="G10" dT="2025-11-27T07:04:14.72" personId="{643550F7-9ECF-4336-AEE4-771AA6DE6B0E}" id="{1D423761-6A5D-4B4F-BB9F-4A79103B5BFE}">
    <text>2021-12-17</text>
  </threadedComment>
  <threadedComment ref="I10" dT="2025-11-27T06:39:18.41" personId="{643550F7-9ECF-4336-AEE4-771AA6DE6B0E}" id="{4EF1434D-2230-4596-9830-AB1AB17E0AA5}">
    <text>2023-03-07</text>
  </threadedComment>
  <threadedComment ref="J10" dT="2025-11-27T06:38:45.40" personId="{643550F7-9ECF-4336-AEE4-771AA6DE6B0E}" id="{5BF6B1C6-994B-4387-BED8-E694156A5C3A}">
    <text>2023-04-03</text>
  </threadedComment>
  <threadedComment ref="K10" dT="2025-11-27T07:03:52.07" personId="{643550F7-9ECF-4336-AEE4-771AA6DE6B0E}" id="{022F442D-5997-4F5C-A939-D506AA22C477}">
    <text>2023-05-15</text>
  </threadedComment>
  <threadedComment ref="L10" dT="2025-11-27T07:03:27.77" personId="{643550F7-9ECF-4336-AEE4-771AA6DE6B0E}" id="{61B5EA1B-8CF8-4DA1-8AC1-AB3123BFEB1D}">
    <text xml:space="preserve">2023-08-16
</text>
  </threadedComment>
  <threadedComment ref="M10" dT="2025-11-27T06:37:54.97" personId="{643550F7-9ECF-4336-AEE4-771AA6DE6B0E}" id="{C9AFDB21-EF54-4381-A8D1-F154E42FDAA9}">
    <text>2023-10-12</text>
  </threadedComment>
  <threadedComment ref="O10" dT="2025-11-27T07:03:07.12" personId="{643550F7-9ECF-4336-AEE4-771AA6DE6B0E}" id="{3AF0DD3C-E8DC-4526-8861-92F21E0A7180}">
    <text>2024-03-26</text>
  </threadedComment>
  <threadedComment ref="P10" dT="2025-11-27T07:02:45.50" personId="{643550F7-9ECF-4336-AEE4-771AA6DE6B0E}" id="{155DF661-8F48-4A43-B4EE-3395FE67F801}">
    <text>2024-06-24</text>
  </threadedComment>
  <threadedComment ref="Q10" dT="2025-11-27T07:02:24.08" personId="{643550F7-9ECF-4336-AEE4-771AA6DE6B0E}" id="{43C0586E-66E2-468E-9828-8EE9435EDD13}">
    <text>2024-09-24</text>
  </threadedComment>
  <threadedComment ref="R10" dT="2025-11-27T07:02:03.90" personId="{643550F7-9ECF-4336-AEE4-771AA6DE6B0E}" id="{99877642-B5AF-4E6F-9038-508D085D5D72}">
    <text>2025-01-09</text>
  </threadedComment>
  <threadedComment ref="S10" dT="2025-11-27T06:33:25.55" personId="{643550F7-9ECF-4336-AEE4-771AA6DE6B0E}" id="{1E90EB64-BB22-4C6E-8ECD-1333B46D5660}">
    <text>2025-04-10</text>
  </threadedComment>
  <threadedComment ref="R11" dT="2025-11-27T07:00:56.21" personId="{643550F7-9ECF-4336-AEE4-771AA6DE6B0E}" id="{946AB0E8-16BD-4A15-B43E-DBF72C9902CF}">
    <text>2024-11-21</text>
  </threadedComment>
  <threadedComment ref="S11" dT="2025-11-27T07:01:28.68" personId="{643550F7-9ECF-4336-AEE4-771AA6DE6B0E}" id="{A6A79AB7-4470-4C3A-913E-BA73E92336FE}">
    <text>2025-02-26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C8EA-52D6-4243-B389-0357156C0079}">
  <dimension ref="B3"/>
  <sheetViews>
    <sheetView workbookViewId="0">
      <selection activeCell="B14" sqref="B14"/>
    </sheetView>
  </sheetViews>
  <sheetFormatPr defaultRowHeight="14.5" x14ac:dyDescent="0.35"/>
  <cols>
    <col min="2" max="2" width="85.26953125" customWidth="1"/>
  </cols>
  <sheetData>
    <row r="3" spans="2:2" ht="63" x14ac:dyDescent="0.5">
      <c r="B3" s="7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D558-B9DC-4DE2-B174-44A8880C1C86}">
  <dimension ref="B2:V33"/>
  <sheetViews>
    <sheetView zoomScale="60" zoomScaleNormal="60" workbookViewId="0">
      <selection activeCell="Y13" sqref="Y13"/>
    </sheetView>
  </sheetViews>
  <sheetFormatPr defaultRowHeight="14.5" x14ac:dyDescent="0.35"/>
  <cols>
    <col min="2" max="2" width="6.1796875" customWidth="1"/>
    <col min="3" max="3" width="14.1796875" customWidth="1"/>
    <col min="4" max="4" width="8.453125" customWidth="1"/>
    <col min="5" max="6" width="8.54296875" customWidth="1"/>
    <col min="7" max="7" width="9.26953125" customWidth="1"/>
    <col min="8" max="8" width="13.26953125" customWidth="1"/>
    <col min="9" max="10" width="10.1796875" bestFit="1" customWidth="1"/>
    <col min="11" max="11" width="11.26953125" customWidth="1"/>
    <col min="12" max="12" width="9.7265625" customWidth="1"/>
    <col min="13" max="14" width="10.1796875" bestFit="1" customWidth="1"/>
    <col min="15" max="15" width="11.453125" customWidth="1"/>
    <col min="16" max="16" width="10.1796875" bestFit="1" customWidth="1"/>
    <col min="17" max="17" width="12.54296875" customWidth="1"/>
    <col min="18" max="19" width="10.1796875" bestFit="1" customWidth="1"/>
    <col min="20" max="20" width="10.7265625" customWidth="1"/>
    <col min="21" max="21" width="11.453125" customWidth="1"/>
    <col min="22" max="22" width="10.81640625" style="8" customWidth="1"/>
    <col min="23" max="23" width="18" customWidth="1"/>
  </cols>
  <sheetData>
    <row r="2" spans="2:22" ht="28.5" x14ac:dyDescent="0.65">
      <c r="C2" s="7" t="s">
        <v>1</v>
      </c>
      <c r="D2" s="7"/>
      <c r="E2" s="7"/>
      <c r="F2" s="7"/>
    </row>
    <row r="3" spans="2:22" ht="15" thickBot="1" x14ac:dyDescent="0.4">
      <c r="C3" t="s">
        <v>2</v>
      </c>
    </row>
    <row r="4" spans="2:22" ht="33.5" thickBot="1" x14ac:dyDescent="0.4">
      <c r="B4" s="62" t="s">
        <v>3</v>
      </c>
      <c r="C4" s="63" t="s">
        <v>4</v>
      </c>
      <c r="D4" s="64"/>
      <c r="E4" s="64"/>
      <c r="F4" s="99" t="s">
        <v>5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65" t="s">
        <v>6</v>
      </c>
    </row>
    <row r="5" spans="2:22" ht="15" customHeight="1" x14ac:dyDescent="0.35">
      <c r="B5" s="27" t="s">
        <v>7</v>
      </c>
      <c r="C5" s="48" t="s">
        <v>8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52">
        <v>0.54400000000000004</v>
      </c>
      <c r="O5" s="51">
        <v>0.23499999999999999</v>
      </c>
      <c r="P5" s="51">
        <v>0.158</v>
      </c>
      <c r="Q5" s="51">
        <v>0.17100000000000001</v>
      </c>
      <c r="R5" s="51">
        <v>0.222</v>
      </c>
      <c r="S5" s="51">
        <v>0.23599999999999999</v>
      </c>
      <c r="T5" s="51">
        <v>0.18099999999999999</v>
      </c>
      <c r="U5" s="58">
        <v>0.16</v>
      </c>
      <c r="V5" s="59">
        <f>AVERAGE(N5:U5)</f>
        <v>0.238375</v>
      </c>
    </row>
    <row r="6" spans="2:22" x14ac:dyDescent="0.35">
      <c r="B6" s="66" t="s">
        <v>7</v>
      </c>
      <c r="C6" s="28" t="s">
        <v>9</v>
      </c>
      <c r="D6" s="13"/>
      <c r="E6" s="13"/>
      <c r="F6" s="13"/>
      <c r="G6" s="9"/>
      <c r="H6" s="9"/>
      <c r="I6" s="9"/>
      <c r="J6" s="9"/>
      <c r="K6" s="9"/>
      <c r="L6" s="9"/>
      <c r="M6" s="9"/>
      <c r="N6" s="9"/>
      <c r="O6" s="9"/>
      <c r="P6" s="9"/>
      <c r="Q6" s="14">
        <v>0.48</v>
      </c>
      <c r="R6" s="14">
        <v>0.40799999999999997</v>
      </c>
      <c r="S6" s="11">
        <v>0.23400000000000001</v>
      </c>
      <c r="T6" s="11">
        <v>0.26200000000000001</v>
      </c>
      <c r="U6" s="12">
        <v>0.22900000000000001</v>
      </c>
      <c r="V6" s="24">
        <f>AVERAGE(Q6:U6)</f>
        <v>0.3226</v>
      </c>
    </row>
    <row r="7" spans="2:22" x14ac:dyDescent="0.35">
      <c r="B7" s="66" t="s">
        <v>7</v>
      </c>
      <c r="C7" s="28" t="s">
        <v>10</v>
      </c>
      <c r="D7" s="10"/>
      <c r="E7" s="10"/>
      <c r="F7" s="10"/>
      <c r="G7" s="9"/>
      <c r="H7" s="9"/>
      <c r="I7" s="9"/>
      <c r="J7" s="9"/>
      <c r="K7" s="9"/>
      <c r="L7" s="9"/>
      <c r="M7" s="9"/>
      <c r="N7" s="9"/>
      <c r="O7" s="9"/>
      <c r="P7" s="9"/>
      <c r="Q7" s="11">
        <v>0.34</v>
      </c>
      <c r="R7" s="11">
        <v>0.32900000000000001</v>
      </c>
      <c r="S7" s="14">
        <v>0.35399999999999998</v>
      </c>
      <c r="T7" s="11">
        <v>0.29099999999999998</v>
      </c>
      <c r="U7" s="12">
        <v>0.19900000000000001</v>
      </c>
      <c r="V7" s="24">
        <f>AVERAGE(Q7:U7)</f>
        <v>0.30260000000000004</v>
      </c>
    </row>
    <row r="8" spans="2:22" x14ac:dyDescent="0.35">
      <c r="B8" s="66" t="s">
        <v>7</v>
      </c>
      <c r="C8" s="28" t="s">
        <v>11</v>
      </c>
      <c r="D8" s="10"/>
      <c r="E8" s="10"/>
      <c r="F8" s="10"/>
      <c r="G8" s="9"/>
      <c r="H8" s="9"/>
      <c r="I8" s="9"/>
      <c r="J8" s="9"/>
      <c r="K8" s="9"/>
      <c r="L8" s="9"/>
      <c r="M8" s="9"/>
      <c r="N8" s="9"/>
      <c r="O8" s="9"/>
      <c r="P8" s="11">
        <v>0.10199999999999999</v>
      </c>
      <c r="Q8" s="11">
        <v>0.16</v>
      </c>
      <c r="R8" s="11">
        <v>0.113</v>
      </c>
      <c r="S8" s="11">
        <v>0.124</v>
      </c>
      <c r="T8" s="11">
        <v>0.11799999999999999</v>
      </c>
      <c r="U8" s="12">
        <v>0.114</v>
      </c>
      <c r="V8" s="24">
        <f>AVERAGE(P8:U8)</f>
        <v>0.12183333333333334</v>
      </c>
    </row>
    <row r="9" spans="2:22" ht="15" thickBot="1" x14ac:dyDescent="0.4">
      <c r="B9" s="67" t="s">
        <v>7</v>
      </c>
      <c r="C9" s="60" t="s">
        <v>12</v>
      </c>
      <c r="D9" s="18"/>
      <c r="E9" s="18"/>
      <c r="F9" s="18"/>
      <c r="G9" s="61"/>
      <c r="H9" s="61"/>
      <c r="I9" s="61"/>
      <c r="J9" s="61"/>
      <c r="K9" s="61"/>
      <c r="L9" s="61"/>
      <c r="M9" s="61"/>
      <c r="N9" s="61"/>
      <c r="O9" s="61"/>
      <c r="P9" s="19">
        <v>0.10100000000000001</v>
      </c>
      <c r="Q9" s="19">
        <v>0.151</v>
      </c>
      <c r="R9" s="19">
        <v>0.28999999999999998</v>
      </c>
      <c r="S9" s="19">
        <v>0.32500000000000001</v>
      </c>
      <c r="T9" s="19">
        <v>0.192</v>
      </c>
      <c r="U9" s="20">
        <v>0.13100000000000001</v>
      </c>
      <c r="V9" s="26">
        <f>AVERAGE(P9:U9)</f>
        <v>0.19833333333333333</v>
      </c>
    </row>
    <row r="10" spans="2:22" x14ac:dyDescent="0.35">
      <c r="B10" s="68" t="s">
        <v>13</v>
      </c>
      <c r="C10" s="28" t="s">
        <v>14</v>
      </c>
      <c r="D10" s="21"/>
      <c r="E10" s="21"/>
      <c r="F10" s="21"/>
      <c r="G10" s="56"/>
      <c r="H10" s="56"/>
      <c r="I10" s="56"/>
      <c r="J10" s="56"/>
      <c r="K10" s="56"/>
      <c r="L10" s="56"/>
      <c r="M10" s="56"/>
      <c r="N10" s="56"/>
      <c r="O10" s="56"/>
      <c r="P10" s="22">
        <v>7.8600000000000003E-2</v>
      </c>
      <c r="Q10" s="22">
        <v>7.9100000000000004E-2</v>
      </c>
      <c r="R10" s="22">
        <v>6.4899999999999999E-2</v>
      </c>
      <c r="S10" s="22">
        <v>5.3800000000000001E-2</v>
      </c>
      <c r="T10" s="22">
        <v>5.7700000000000001E-2</v>
      </c>
      <c r="U10" s="23">
        <v>4.9700000000000001E-2</v>
      </c>
      <c r="V10" s="57">
        <f>AVERAGE(P10:U10)</f>
        <v>6.3966666666666686E-2</v>
      </c>
    </row>
    <row r="11" spans="2:22" x14ac:dyDescent="0.35">
      <c r="B11" s="66" t="s">
        <v>13</v>
      </c>
      <c r="C11" s="29" t="s">
        <v>15</v>
      </c>
      <c r="D11" s="10"/>
      <c r="E11" s="10"/>
      <c r="F11" s="10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1">
        <v>0.24</v>
      </c>
      <c r="T11" s="11">
        <v>0.17</v>
      </c>
      <c r="U11" s="12">
        <v>0.17899999999999999</v>
      </c>
      <c r="V11" s="24">
        <f>AVERAGE(S11:U11)</f>
        <v>0.19633333333333333</v>
      </c>
    </row>
    <row r="12" spans="2:22" x14ac:dyDescent="0.35">
      <c r="B12" s="66" t="s">
        <v>13</v>
      </c>
      <c r="C12" s="29" t="s">
        <v>16</v>
      </c>
      <c r="D12" s="10"/>
      <c r="E12" s="10"/>
      <c r="F12" s="10"/>
      <c r="G12" s="9"/>
      <c r="H12" s="9"/>
      <c r="I12" s="9"/>
      <c r="J12" s="9"/>
      <c r="K12" s="9"/>
      <c r="L12" s="9"/>
      <c r="M12" s="9"/>
      <c r="N12" s="11">
        <v>0.14000000000000001</v>
      </c>
      <c r="O12" s="11">
        <v>0.184</v>
      </c>
      <c r="P12" s="11">
        <v>0.153</v>
      </c>
      <c r="Q12" s="11">
        <v>0.122</v>
      </c>
      <c r="R12" s="11">
        <v>0.11899999999999999</v>
      </c>
      <c r="S12" s="11">
        <v>0.16200000000000001</v>
      </c>
      <c r="T12" s="11">
        <v>9.2600000000000002E-2</v>
      </c>
      <c r="U12" s="12">
        <v>8.5400000000000004E-2</v>
      </c>
      <c r="V12" s="24">
        <f>AVERAGE(N12:U12)</f>
        <v>0.13225000000000001</v>
      </c>
    </row>
    <row r="13" spans="2:22" x14ac:dyDescent="0.35">
      <c r="B13" s="66" t="s">
        <v>13</v>
      </c>
      <c r="C13" s="29" t="s">
        <v>17</v>
      </c>
      <c r="D13" s="10"/>
      <c r="E13" s="10"/>
      <c r="F13" s="10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1">
        <v>0.13600000000000001</v>
      </c>
      <c r="U13" s="12">
        <v>0.11700000000000001</v>
      </c>
      <c r="V13" s="24">
        <f>AVERAGE(T13:U13)</f>
        <v>0.1265</v>
      </c>
    </row>
    <row r="14" spans="2:22" ht="14.5" customHeight="1" x14ac:dyDescent="0.35">
      <c r="B14" s="66" t="s">
        <v>13</v>
      </c>
      <c r="C14" s="29" t="s">
        <v>18</v>
      </c>
      <c r="D14" s="10"/>
      <c r="E14" s="10"/>
      <c r="F14" s="10"/>
      <c r="G14" s="9"/>
      <c r="H14" s="9"/>
      <c r="I14" s="9"/>
      <c r="J14" s="9"/>
      <c r="K14" s="9"/>
      <c r="L14" s="9"/>
      <c r="M14" s="9"/>
      <c r="N14" s="9"/>
      <c r="O14" s="14">
        <v>0.38800000000000001</v>
      </c>
      <c r="P14" s="15">
        <v>0.627</v>
      </c>
      <c r="Q14" s="11">
        <v>0.316</v>
      </c>
      <c r="R14" s="14">
        <v>0.373</v>
      </c>
      <c r="S14" s="11">
        <v>0.33900000000000002</v>
      </c>
      <c r="T14" s="11">
        <v>0.23</v>
      </c>
      <c r="U14" s="12">
        <v>0.22800000000000001</v>
      </c>
      <c r="V14" s="24">
        <f>AVERAGE(O14:U14)</f>
        <v>0.35728571428571432</v>
      </c>
    </row>
    <row r="15" spans="2:22" ht="14.5" customHeight="1" x14ac:dyDescent="0.35">
      <c r="B15" s="66" t="s">
        <v>13</v>
      </c>
      <c r="C15" s="29" t="s">
        <v>19</v>
      </c>
      <c r="D15" s="21"/>
      <c r="E15" s="21"/>
      <c r="F15" s="10"/>
      <c r="G15" s="9"/>
      <c r="H15" s="9"/>
      <c r="I15" s="9"/>
      <c r="J15" s="9"/>
      <c r="K15" s="9"/>
      <c r="L15" s="9"/>
      <c r="M15" s="9"/>
      <c r="N15" s="9"/>
      <c r="O15" s="11">
        <v>5.5899999999999998E-2</v>
      </c>
      <c r="P15" s="11">
        <v>7.4099999999999999E-2</v>
      </c>
      <c r="Q15" s="11">
        <v>5.7799999999999997E-2</v>
      </c>
      <c r="R15" s="11">
        <v>6.4899999999999999E-2</v>
      </c>
      <c r="S15" s="11">
        <v>6.25E-2</v>
      </c>
      <c r="T15" s="11">
        <v>3.6600000000000001E-2</v>
      </c>
      <c r="U15" s="12">
        <v>4.8300000000000003E-2</v>
      </c>
      <c r="V15" s="24">
        <f>AVERAGE(O15:U15)</f>
        <v>5.7157142857142858E-2</v>
      </c>
    </row>
    <row r="16" spans="2:22" ht="14.5" customHeight="1" x14ac:dyDescent="0.35">
      <c r="B16" s="66" t="s">
        <v>13</v>
      </c>
      <c r="C16" s="29" t="s">
        <v>20</v>
      </c>
      <c r="D16" s="13"/>
      <c r="E16" s="13"/>
      <c r="F16" s="10"/>
      <c r="G16" s="9"/>
      <c r="H16" s="9"/>
      <c r="I16" s="9"/>
      <c r="J16" s="9"/>
      <c r="K16" s="9"/>
      <c r="L16" s="9"/>
      <c r="M16" s="9"/>
      <c r="N16" s="9"/>
      <c r="O16" s="11">
        <v>8.3900000000000002E-2</v>
      </c>
      <c r="P16" s="11">
        <v>5.4600000000000003E-2</v>
      </c>
      <c r="Q16" s="11">
        <v>8.9899999999999994E-2</v>
      </c>
      <c r="R16" s="11">
        <v>8.09E-2</v>
      </c>
      <c r="S16" s="11">
        <v>8.9300000000000004E-2</v>
      </c>
      <c r="T16" s="11">
        <v>6.6000000000000003E-2</v>
      </c>
      <c r="U16" s="12">
        <v>7.7600000000000002E-2</v>
      </c>
      <c r="V16" s="24">
        <f>AVERAGE(O16:U16)</f>
        <v>7.7457142857142863E-2</v>
      </c>
    </row>
    <row r="17" spans="2:22" ht="14.5" customHeight="1" x14ac:dyDescent="0.35">
      <c r="B17" s="66" t="s">
        <v>13</v>
      </c>
      <c r="C17" s="29" t="s">
        <v>21</v>
      </c>
      <c r="D17" s="10"/>
      <c r="E17" s="10"/>
      <c r="F17" s="10"/>
      <c r="G17" s="9"/>
      <c r="H17" s="9"/>
      <c r="I17" s="9"/>
      <c r="J17" s="9"/>
      <c r="K17" s="9"/>
      <c r="L17" s="9"/>
      <c r="M17" s="9"/>
      <c r="N17" s="9"/>
      <c r="O17" s="9"/>
      <c r="P17" s="11">
        <v>3.9199999999999999E-2</v>
      </c>
      <c r="Q17" s="11">
        <v>3.5499999999999997E-2</v>
      </c>
      <c r="R17" s="11">
        <v>3.5200000000000002E-2</v>
      </c>
      <c r="S17" s="11">
        <v>2.9000000000000001E-2</v>
      </c>
      <c r="T17" s="11">
        <v>1.6799999999999999E-2</v>
      </c>
      <c r="U17" s="12">
        <v>2.6700000000000002E-2</v>
      </c>
      <c r="V17" s="24">
        <f>AVERAGE(P17:U17)</f>
        <v>3.04E-2</v>
      </c>
    </row>
    <row r="18" spans="2:22" ht="14.5" customHeight="1" x14ac:dyDescent="0.35">
      <c r="B18" s="66" t="s">
        <v>13</v>
      </c>
      <c r="C18" s="29" t="s">
        <v>22</v>
      </c>
      <c r="D18" s="10"/>
      <c r="E18" s="10"/>
      <c r="F18" s="10"/>
      <c r="G18" s="9"/>
      <c r="H18" s="9"/>
      <c r="I18" s="9"/>
      <c r="J18" s="9"/>
      <c r="K18" s="9"/>
      <c r="L18" s="9"/>
      <c r="M18" s="9"/>
      <c r="N18" s="9"/>
      <c r="O18" s="101"/>
      <c r="P18" s="101"/>
      <c r="Q18" s="9"/>
      <c r="R18" s="11">
        <v>0.216</v>
      </c>
      <c r="S18" s="11">
        <v>0.29099999999999998</v>
      </c>
      <c r="T18" s="11">
        <v>0.33700000000000002</v>
      </c>
      <c r="U18" s="12">
        <v>0.32200000000000001</v>
      </c>
      <c r="V18" s="24">
        <f>AVERAGE(R18:U18)</f>
        <v>0.29150000000000004</v>
      </c>
    </row>
    <row r="19" spans="2:22" ht="14.5" customHeight="1" x14ac:dyDescent="0.35">
      <c r="B19" s="66" t="s">
        <v>13</v>
      </c>
      <c r="C19" s="29" t="s">
        <v>23</v>
      </c>
      <c r="D19" s="10"/>
      <c r="E19" s="10"/>
      <c r="F19" s="10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1">
        <v>4.8099999999999997E-2</v>
      </c>
      <c r="S19" s="11">
        <v>6.2899999999999998E-2</v>
      </c>
      <c r="T19" s="11">
        <v>7.7700000000000005E-2</v>
      </c>
      <c r="U19" s="12">
        <v>0.107</v>
      </c>
      <c r="V19" s="24">
        <f>AVERAGE(R19:U19)</f>
        <v>7.3924999999999991E-2</v>
      </c>
    </row>
    <row r="20" spans="2:22" x14ac:dyDescent="0.35">
      <c r="B20" s="66" t="s">
        <v>13</v>
      </c>
      <c r="C20" s="29" t="s">
        <v>24</v>
      </c>
      <c r="D20" s="10"/>
      <c r="E20" s="10"/>
      <c r="F20" s="10"/>
      <c r="G20" s="9"/>
      <c r="H20" s="9"/>
      <c r="I20" s="9"/>
      <c r="J20" s="9"/>
      <c r="K20" s="9"/>
      <c r="L20" s="9"/>
      <c r="M20" s="9"/>
      <c r="N20" s="11">
        <v>9.5000000000000001E-2</v>
      </c>
      <c r="O20" s="11">
        <v>0.14199999999999999</v>
      </c>
      <c r="P20" s="11">
        <v>0.19700000000000001</v>
      </c>
      <c r="Q20" s="11">
        <v>0.28699999999999998</v>
      </c>
      <c r="R20" s="11">
        <v>0.219</v>
      </c>
      <c r="S20" s="11">
        <v>0.254</v>
      </c>
      <c r="T20" s="11">
        <v>0.29299999999999998</v>
      </c>
      <c r="U20" s="12">
        <v>0.29899999999999999</v>
      </c>
      <c r="V20" s="24">
        <f>AVERAGE(N20:U20)</f>
        <v>0.22324999999999998</v>
      </c>
    </row>
    <row r="21" spans="2:22" ht="15" thickBot="1" x14ac:dyDescent="0.4">
      <c r="B21" s="69" t="s">
        <v>13</v>
      </c>
      <c r="C21" s="42" t="s">
        <v>25</v>
      </c>
      <c r="D21" s="43"/>
      <c r="E21" s="43"/>
      <c r="F21" s="43"/>
      <c r="G21" s="44"/>
      <c r="H21" s="44"/>
      <c r="I21" s="44"/>
      <c r="J21" s="44"/>
      <c r="K21" s="44"/>
      <c r="L21" s="44"/>
      <c r="M21" s="44"/>
      <c r="N21" s="44"/>
      <c r="O21" s="45">
        <v>0.14299999999999999</v>
      </c>
      <c r="P21" s="45">
        <v>0.19500000000000001</v>
      </c>
      <c r="Q21" s="45">
        <v>0.26</v>
      </c>
      <c r="R21" s="45">
        <v>0.34200000000000003</v>
      </c>
      <c r="S21" s="45">
        <v>0.26900000000000002</v>
      </c>
      <c r="T21" s="45">
        <v>0.19900000000000001</v>
      </c>
      <c r="U21" s="46">
        <v>0.22</v>
      </c>
      <c r="V21" s="47">
        <f>AVERAGE(O21:U21)</f>
        <v>0.2325714285714286</v>
      </c>
    </row>
    <row r="22" spans="2:22" x14ac:dyDescent="0.35">
      <c r="B22" s="27" t="s">
        <v>26</v>
      </c>
      <c r="C22" s="48" t="s">
        <v>27</v>
      </c>
      <c r="D22" s="49"/>
      <c r="E22" s="49"/>
      <c r="F22" s="49"/>
      <c r="G22" s="50"/>
      <c r="H22" s="50"/>
      <c r="I22" s="50"/>
      <c r="J22" s="51">
        <v>0.26900000000000002</v>
      </c>
      <c r="K22" s="51">
        <v>0.13800000000000001</v>
      </c>
      <c r="L22" s="52">
        <v>0.51500000000000001</v>
      </c>
      <c r="M22" s="53">
        <v>0.45500000000000002</v>
      </c>
      <c r="N22" s="52">
        <v>0.59199999999999997</v>
      </c>
      <c r="O22" s="53">
        <v>0.40899999999999997</v>
      </c>
      <c r="P22" s="51">
        <v>0.313</v>
      </c>
      <c r="Q22" s="51">
        <v>0.32400000000000001</v>
      </c>
      <c r="R22" s="51">
        <v>0.252</v>
      </c>
      <c r="S22" s="53">
        <v>0.372</v>
      </c>
      <c r="T22" s="53">
        <v>0.41599999999999998</v>
      </c>
      <c r="U22" s="54">
        <v>0.39300000000000002</v>
      </c>
      <c r="V22" s="55">
        <f>AVERAGE(J22:U22)</f>
        <v>0.37066666666666664</v>
      </c>
    </row>
    <row r="23" spans="2:22" x14ac:dyDescent="0.35">
      <c r="B23" s="66" t="s">
        <v>26</v>
      </c>
      <c r="C23" s="29" t="s">
        <v>28</v>
      </c>
      <c r="D23" s="10"/>
      <c r="E23" s="10"/>
      <c r="F23" s="10"/>
      <c r="G23" s="9"/>
      <c r="H23" s="11">
        <v>5.62E-2</v>
      </c>
      <c r="I23" s="11">
        <v>3.5799999999999998E-2</v>
      </c>
      <c r="J23" s="11">
        <v>3.3000000000000002E-2</v>
      </c>
      <c r="K23" s="11">
        <v>4.2000000000000003E-2</v>
      </c>
      <c r="L23" s="11">
        <v>0.20399999999999999</v>
      </c>
      <c r="M23" s="11">
        <v>0.161</v>
      </c>
      <c r="N23" s="11">
        <v>0.10199999999999999</v>
      </c>
      <c r="O23" s="11">
        <v>7.2900000000000006E-2</v>
      </c>
      <c r="P23" s="11">
        <v>8.14E-2</v>
      </c>
      <c r="Q23" s="11">
        <v>0.112</v>
      </c>
      <c r="R23" s="11">
        <v>0.221</v>
      </c>
      <c r="S23" s="11">
        <v>0.41599999999999998</v>
      </c>
      <c r="T23" s="11">
        <v>0.26800000000000002</v>
      </c>
      <c r="U23" s="12">
        <v>0.106</v>
      </c>
      <c r="V23" s="24">
        <f>AVERAGE(H23:U23)</f>
        <v>0.13652142857142857</v>
      </c>
    </row>
    <row r="24" spans="2:22" x14ac:dyDescent="0.35">
      <c r="B24" s="66" t="s">
        <v>26</v>
      </c>
      <c r="C24" s="29" t="s">
        <v>29</v>
      </c>
      <c r="D24" s="10"/>
      <c r="E24" s="10"/>
      <c r="F24" s="10"/>
      <c r="G24" s="9"/>
      <c r="H24" s="9"/>
      <c r="I24" s="11">
        <v>0.24199999999999999</v>
      </c>
      <c r="J24" s="11">
        <v>0.25700000000000001</v>
      </c>
      <c r="K24" s="11">
        <v>0.29599999999999999</v>
      </c>
      <c r="L24" s="11">
        <v>0.215</v>
      </c>
      <c r="M24" s="11">
        <v>0.14000000000000001</v>
      </c>
      <c r="N24" s="11">
        <v>0.29199999999999998</v>
      </c>
      <c r="O24" s="11">
        <v>0.30099999999999999</v>
      </c>
      <c r="P24" s="11">
        <v>0.19</v>
      </c>
      <c r="Q24" s="11">
        <v>0.19700000000000001</v>
      </c>
      <c r="R24" s="11">
        <v>0.16500000000000001</v>
      </c>
      <c r="S24" s="11">
        <v>0.17699999999999999</v>
      </c>
      <c r="T24" s="11">
        <v>0.14499999999999999</v>
      </c>
      <c r="U24" s="12">
        <v>0.20200000000000001</v>
      </c>
      <c r="V24" s="24">
        <f>AVERAGE(I24:U24)</f>
        <v>0.21684615384615386</v>
      </c>
    </row>
    <row r="25" spans="2:22" x14ac:dyDescent="0.35">
      <c r="B25" s="66" t="s">
        <v>26</v>
      </c>
      <c r="C25" s="29" t="s">
        <v>30</v>
      </c>
      <c r="D25" s="21"/>
      <c r="E25" s="21"/>
      <c r="F25" s="10"/>
      <c r="G25" s="9"/>
      <c r="H25" s="9"/>
      <c r="I25" s="9"/>
      <c r="J25" s="9"/>
      <c r="K25" s="9"/>
      <c r="L25" s="9"/>
      <c r="M25" s="9"/>
      <c r="N25" s="9"/>
      <c r="O25" s="11">
        <v>3.7999999999999999E-2</v>
      </c>
      <c r="P25" s="11">
        <v>2.9000000000000001E-2</v>
      </c>
      <c r="Q25" s="11">
        <v>3.5000000000000003E-2</v>
      </c>
      <c r="R25" s="11">
        <v>4.5999999999999999E-2</v>
      </c>
      <c r="S25" s="11">
        <v>6.2E-2</v>
      </c>
      <c r="T25" s="11">
        <v>5.7000000000000002E-2</v>
      </c>
      <c r="U25" s="12">
        <v>7.9299999999999995E-2</v>
      </c>
      <c r="V25" s="24">
        <f>AVERAGE(O25:U25)</f>
        <v>4.9471428571428569E-2</v>
      </c>
    </row>
    <row r="26" spans="2:22" x14ac:dyDescent="0.35">
      <c r="B26" s="66" t="s">
        <v>26</v>
      </c>
      <c r="C26" s="29" t="s">
        <v>31</v>
      </c>
      <c r="D26" s="13"/>
      <c r="E26" s="13"/>
      <c r="F26" s="10"/>
      <c r="G26" s="11">
        <v>0.14099999999999999</v>
      </c>
      <c r="H26" s="11">
        <v>0.4</v>
      </c>
      <c r="I26" s="11">
        <v>0.192</v>
      </c>
      <c r="J26" s="11">
        <v>0.183</v>
      </c>
      <c r="K26" s="16">
        <v>0.70499999999999996</v>
      </c>
      <c r="L26" s="16">
        <v>0.54100000000000004</v>
      </c>
      <c r="M26" s="11">
        <v>0.32900000000000001</v>
      </c>
      <c r="N26" s="14">
        <v>0.36099999999999999</v>
      </c>
      <c r="O26" s="16">
        <v>0.60699999999999998</v>
      </c>
      <c r="P26" s="14">
        <v>0.376</v>
      </c>
      <c r="Q26" s="11">
        <v>0.28999999999999998</v>
      </c>
      <c r="R26" s="11">
        <v>0.24099999999999999</v>
      </c>
      <c r="S26" s="11">
        <v>0.23100000000000001</v>
      </c>
      <c r="T26" s="11">
        <v>0.26500000000000001</v>
      </c>
      <c r="U26" s="12">
        <v>0.26500000000000001</v>
      </c>
      <c r="V26" s="24">
        <f>AVERAGE(G26:U26)</f>
        <v>0.34179999999999994</v>
      </c>
    </row>
    <row r="27" spans="2:22" x14ac:dyDescent="0.35">
      <c r="B27" s="66" t="s">
        <v>26</v>
      </c>
      <c r="C27" s="29" t="s">
        <v>32</v>
      </c>
      <c r="D27" s="16">
        <v>0.98499999999999999</v>
      </c>
      <c r="E27" s="16">
        <v>0.65600000000000003</v>
      </c>
      <c r="F27" s="16">
        <v>0.504</v>
      </c>
      <c r="G27" s="14">
        <v>0.45800000000000002</v>
      </c>
      <c r="H27" s="11">
        <v>0.34499999999999997</v>
      </c>
      <c r="I27" s="16">
        <v>0.59199999999999997</v>
      </c>
      <c r="J27" s="16">
        <v>0.56499999999999995</v>
      </c>
      <c r="K27" s="14">
        <v>0.38800000000000001</v>
      </c>
      <c r="L27" s="14">
        <v>0.40400000000000003</v>
      </c>
      <c r="M27" s="16">
        <v>0.54300000000000004</v>
      </c>
      <c r="N27" s="11">
        <v>0.23300000000000001</v>
      </c>
      <c r="O27" s="14">
        <v>0.40699999999999997</v>
      </c>
      <c r="P27" s="14">
        <v>0.35199999999999998</v>
      </c>
      <c r="Q27" s="14">
        <v>0.41599999999999998</v>
      </c>
      <c r="R27" s="14">
        <v>0.36199999999999999</v>
      </c>
      <c r="S27" s="17">
        <v>0.50700000000000001</v>
      </c>
      <c r="T27" s="31">
        <v>0.34</v>
      </c>
      <c r="U27" s="32">
        <v>0.3</v>
      </c>
      <c r="V27" s="25">
        <f>AVERAGE(D27:U27)</f>
        <v>0.46427777777777784</v>
      </c>
    </row>
    <row r="28" spans="2:22" x14ac:dyDescent="0.35">
      <c r="B28" s="66" t="s">
        <v>26</v>
      </c>
      <c r="C28" s="29" t="s">
        <v>33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4">
        <v>0.35399999999999998</v>
      </c>
      <c r="S28" s="14">
        <v>0.436</v>
      </c>
      <c r="T28" s="11">
        <v>0.29199999999999998</v>
      </c>
      <c r="U28" s="12">
        <v>0.224</v>
      </c>
      <c r="V28" s="24">
        <f>AVERAGE(R28:U28)</f>
        <v>0.32650000000000001</v>
      </c>
    </row>
    <row r="29" spans="2:22" ht="15" thickBot="1" x14ac:dyDescent="0.4">
      <c r="B29" s="67" t="s">
        <v>26</v>
      </c>
      <c r="C29" s="30" t="s">
        <v>34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9">
        <v>0.106</v>
      </c>
      <c r="T29" s="19">
        <v>0.14799999999999999</v>
      </c>
      <c r="U29" s="20">
        <v>0.107</v>
      </c>
      <c r="V29" s="26">
        <f>AVERAGE(S29:U29)</f>
        <v>0.12033333333333333</v>
      </c>
    </row>
    <row r="30" spans="2:22" ht="21" x14ac:dyDescent="0.5">
      <c r="B30" s="4"/>
      <c r="C30" t="s">
        <v>35</v>
      </c>
      <c r="T30" s="36" t="s">
        <v>36</v>
      </c>
      <c r="U30" s="37"/>
      <c r="V30" s="34">
        <f>AVERAGE(V5:V29)</f>
        <v>0.20291019536019539</v>
      </c>
    </row>
    <row r="31" spans="2:22" ht="21" x14ac:dyDescent="0.5">
      <c r="B31" s="3"/>
      <c r="C31" s="2" t="s">
        <v>37</v>
      </c>
      <c r="T31" s="38" t="s">
        <v>38</v>
      </c>
      <c r="U31" s="39"/>
      <c r="V31" s="33">
        <f>AVERAGE(V5:V9)</f>
        <v>0.23674833333333334</v>
      </c>
    </row>
    <row r="32" spans="2:22" ht="21" x14ac:dyDescent="0.5">
      <c r="T32" s="38" t="s">
        <v>39</v>
      </c>
      <c r="U32" s="39"/>
      <c r="V32" s="33">
        <f>AVERAGE(V10:V21)</f>
        <v>0.15521636904761907</v>
      </c>
    </row>
    <row r="33" spans="19:22" ht="21.5" thickBot="1" x14ac:dyDescent="0.55000000000000004">
      <c r="S33" s="6"/>
      <c r="T33" s="40" t="s">
        <v>40</v>
      </c>
      <c r="U33" s="41"/>
      <c r="V33" s="35">
        <f>AVERAGE(V22:V29)</f>
        <v>0.25330209859584857</v>
      </c>
    </row>
  </sheetData>
  <mergeCells count="2">
    <mergeCell ref="F4:U4"/>
    <mergeCell ref="O18:P18"/>
  </mergeCells>
  <conditionalFormatting sqref="D5:E29">
    <cfRule type="cellIs" dxfId="27" priority="4" operator="greaterThanOrEqual">
      <formula>0.5</formula>
    </cfRule>
    <cfRule type="cellIs" dxfId="26" priority="6" operator="between">
      <formula>0.00001</formula>
      <formula>0.349999</formula>
    </cfRule>
  </conditionalFormatting>
  <conditionalFormatting sqref="F5:V26 D27:S27 V27 F28:V29">
    <cfRule type="cellIs" dxfId="25" priority="7" operator="greaterThanOrEqual">
      <formula>0.5</formula>
    </cfRule>
    <cfRule type="cellIs" dxfId="24" priority="9" operator="between">
      <formula>0.00001</formula>
      <formula>0.49999</formula>
    </cfRule>
  </conditionalFormatting>
  <conditionalFormatting sqref="V30:V33">
    <cfRule type="cellIs" dxfId="23" priority="1" operator="greaterThanOrEqual">
      <formula>0.5</formula>
    </cfRule>
    <cfRule type="cellIs" dxfId="22" priority="2" operator="between">
      <formula>0.35</formula>
      <formula>0.5</formula>
    </cfRule>
    <cfRule type="cellIs" dxfId="21" priority="3" operator="between">
      <formula>0.00001</formula>
      <formula>0.349999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FB91-302C-42B5-90E8-A8799AFE4360}">
  <dimension ref="B2:W17"/>
  <sheetViews>
    <sheetView zoomScale="110" zoomScaleNormal="110" workbookViewId="0">
      <selection activeCell="B17" sqref="B17"/>
    </sheetView>
  </sheetViews>
  <sheetFormatPr defaultRowHeight="14.5" x14ac:dyDescent="0.35"/>
  <cols>
    <col min="2" max="2" width="6.1796875" customWidth="1"/>
    <col min="3" max="3" width="14.1796875" customWidth="1"/>
    <col min="4" max="4" width="8.453125" customWidth="1"/>
    <col min="5" max="6" width="8.54296875" customWidth="1"/>
    <col min="7" max="7" width="9.26953125" customWidth="1"/>
    <col min="8" max="8" width="13.26953125" customWidth="1"/>
    <col min="9" max="10" width="10.1796875" bestFit="1" customWidth="1"/>
    <col min="11" max="11" width="11.26953125" customWidth="1"/>
    <col min="12" max="12" width="9.7265625" customWidth="1"/>
    <col min="13" max="14" width="10.1796875" bestFit="1" customWidth="1"/>
    <col min="15" max="15" width="11.453125" customWidth="1"/>
    <col min="16" max="16" width="10.1796875" bestFit="1" customWidth="1"/>
    <col min="17" max="17" width="12.54296875" customWidth="1"/>
    <col min="18" max="19" width="10.1796875" bestFit="1" customWidth="1"/>
    <col min="20" max="20" width="10.7265625" customWidth="1"/>
    <col min="21" max="21" width="11.453125" customWidth="1"/>
    <col min="22" max="22" width="11" style="8" customWidth="1"/>
    <col min="23" max="23" width="18" customWidth="1"/>
  </cols>
  <sheetData>
    <row r="2" spans="2:23" ht="28.5" x14ac:dyDescent="0.65">
      <c r="C2" s="7" t="s">
        <v>70</v>
      </c>
      <c r="D2" s="7"/>
      <c r="E2" s="7"/>
      <c r="F2" s="7"/>
    </row>
    <row r="3" spans="2:23" ht="15" thickBot="1" x14ac:dyDescent="0.4">
      <c r="C3" t="s">
        <v>41</v>
      </c>
    </row>
    <row r="4" spans="2:23" ht="33.5" thickBot="1" x14ac:dyDescent="0.4">
      <c r="B4" s="62" t="s">
        <v>3</v>
      </c>
      <c r="C4" s="63" t="s">
        <v>4</v>
      </c>
      <c r="D4" s="64"/>
      <c r="E4" s="64"/>
      <c r="F4" s="99" t="s">
        <v>5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65" t="s">
        <v>6</v>
      </c>
    </row>
    <row r="5" spans="2:23" x14ac:dyDescent="0.35">
      <c r="B5" s="27" t="s">
        <v>26</v>
      </c>
      <c r="C5" s="48" t="s">
        <v>27</v>
      </c>
      <c r="D5" s="49"/>
      <c r="E5" s="49"/>
      <c r="F5" s="49"/>
      <c r="G5" s="50"/>
      <c r="H5" s="50"/>
      <c r="I5" s="50"/>
      <c r="J5" s="51">
        <v>0.26900000000000002</v>
      </c>
      <c r="K5" s="51">
        <v>0.13800000000000001</v>
      </c>
      <c r="L5" s="52">
        <v>0.51500000000000001</v>
      </c>
      <c r="M5" s="53">
        <v>0.45500000000000002</v>
      </c>
      <c r="N5" s="52">
        <v>0.59199999999999997</v>
      </c>
      <c r="O5" s="53">
        <v>0.40899999999999997</v>
      </c>
      <c r="P5" s="51">
        <v>0.313</v>
      </c>
      <c r="Q5" s="51">
        <v>0.32400000000000001</v>
      </c>
      <c r="R5" s="51">
        <v>0.252</v>
      </c>
      <c r="S5" s="53">
        <v>0.372</v>
      </c>
      <c r="T5" s="53">
        <v>0.41599999999999998</v>
      </c>
      <c r="U5" s="54">
        <v>0.39300000000000002</v>
      </c>
      <c r="V5" s="55">
        <f>AVERAGE(J5:U5)</f>
        <v>0.37066666666666664</v>
      </c>
      <c r="W5" s="98" t="s">
        <v>42</v>
      </c>
    </row>
    <row r="6" spans="2:23" x14ac:dyDescent="0.35">
      <c r="B6" s="66" t="s">
        <v>26</v>
      </c>
      <c r="C6" s="29" t="s">
        <v>28</v>
      </c>
      <c r="D6" s="10"/>
      <c r="E6" s="10"/>
      <c r="F6" s="10"/>
      <c r="G6" s="9"/>
      <c r="H6" s="11">
        <v>5.62E-2</v>
      </c>
      <c r="I6" s="11">
        <v>3.5799999999999998E-2</v>
      </c>
      <c r="J6" s="11">
        <v>3.3000000000000002E-2</v>
      </c>
      <c r="K6" s="11">
        <v>4.2000000000000003E-2</v>
      </c>
      <c r="L6" s="11">
        <v>0.20399999999999999</v>
      </c>
      <c r="M6" s="11">
        <v>0.161</v>
      </c>
      <c r="N6" s="11">
        <v>0.10199999999999999</v>
      </c>
      <c r="O6" s="11">
        <v>7.2900000000000006E-2</v>
      </c>
      <c r="P6" s="11">
        <v>8.14E-2</v>
      </c>
      <c r="Q6" s="11">
        <v>0.112</v>
      </c>
      <c r="R6" s="11">
        <v>0.221</v>
      </c>
      <c r="S6" s="11">
        <v>0.41599999999999998</v>
      </c>
      <c r="T6" s="11">
        <v>0.26800000000000002</v>
      </c>
      <c r="U6" s="12">
        <v>0.106</v>
      </c>
      <c r="V6" s="24">
        <f>AVERAGE(H6:U6)</f>
        <v>0.13652142857142857</v>
      </c>
      <c r="W6" s="98" t="s">
        <v>43</v>
      </c>
    </row>
    <row r="7" spans="2:23" x14ac:dyDescent="0.35">
      <c r="B7" s="66" t="s">
        <v>26</v>
      </c>
      <c r="C7" s="29" t="s">
        <v>29</v>
      </c>
      <c r="D7" s="10"/>
      <c r="E7" s="10"/>
      <c r="F7" s="10"/>
      <c r="G7" s="9"/>
      <c r="H7" s="9"/>
      <c r="I7" s="11">
        <v>0.24199999999999999</v>
      </c>
      <c r="J7" s="11">
        <v>0.25700000000000001</v>
      </c>
      <c r="K7" s="11">
        <v>0.29599999999999999</v>
      </c>
      <c r="L7" s="11">
        <v>0.215</v>
      </c>
      <c r="M7" s="11">
        <v>0.14000000000000001</v>
      </c>
      <c r="N7" s="11">
        <v>0.29199999999999998</v>
      </c>
      <c r="O7" s="11">
        <v>0.30099999999999999</v>
      </c>
      <c r="P7" s="11">
        <v>0.19</v>
      </c>
      <c r="Q7" s="11">
        <v>0.19700000000000001</v>
      </c>
      <c r="R7" s="11">
        <v>0.16500000000000001</v>
      </c>
      <c r="S7" s="11">
        <v>0.17699999999999999</v>
      </c>
      <c r="T7" s="11">
        <v>0.14499999999999999</v>
      </c>
      <c r="U7" s="12">
        <v>0.20200000000000001</v>
      </c>
      <c r="V7" s="24">
        <f>AVERAGE(I7:U7)</f>
        <v>0.21684615384615386</v>
      </c>
      <c r="W7" s="98" t="s">
        <v>42</v>
      </c>
    </row>
    <row r="8" spans="2:23" x14ac:dyDescent="0.35">
      <c r="B8" s="66" t="s">
        <v>26</v>
      </c>
      <c r="C8" s="29" t="s">
        <v>30</v>
      </c>
      <c r="D8" s="21"/>
      <c r="E8" s="21"/>
      <c r="F8" s="10"/>
      <c r="G8" s="9"/>
      <c r="H8" s="9"/>
      <c r="I8" s="9"/>
      <c r="J8" s="9"/>
      <c r="K8" s="9"/>
      <c r="L8" s="9"/>
      <c r="M8" s="9"/>
      <c r="N8" s="9"/>
      <c r="O8" s="11">
        <v>3.7999999999999999E-2</v>
      </c>
      <c r="P8" s="11">
        <v>2.9000000000000001E-2</v>
      </c>
      <c r="Q8" s="11">
        <v>3.5000000000000003E-2</v>
      </c>
      <c r="R8" s="11">
        <v>4.5999999999999999E-2</v>
      </c>
      <c r="S8" s="11">
        <v>6.2E-2</v>
      </c>
      <c r="T8" s="11">
        <v>5.7000000000000002E-2</v>
      </c>
      <c r="U8" s="12">
        <v>7.9299999999999995E-2</v>
      </c>
      <c r="V8" s="24">
        <f>AVERAGE(O8:U8)</f>
        <v>4.9471428571428569E-2</v>
      </c>
      <c r="W8" s="98" t="s">
        <v>44</v>
      </c>
    </row>
    <row r="9" spans="2:23" x14ac:dyDescent="0.35">
      <c r="B9" s="66" t="s">
        <v>26</v>
      </c>
      <c r="C9" s="29" t="s">
        <v>31</v>
      </c>
      <c r="D9" s="13"/>
      <c r="E9" s="13"/>
      <c r="F9" s="10"/>
      <c r="G9" s="11">
        <v>0.14099999999999999</v>
      </c>
      <c r="H9" s="11">
        <v>0.4</v>
      </c>
      <c r="I9" s="11">
        <v>0.192</v>
      </c>
      <c r="J9" s="11">
        <v>0.183</v>
      </c>
      <c r="K9" s="16">
        <v>0.70499999999999996</v>
      </c>
      <c r="L9" s="16">
        <v>0.54100000000000004</v>
      </c>
      <c r="M9" s="11">
        <v>0.32900000000000001</v>
      </c>
      <c r="N9" s="14">
        <v>0.36099999999999999</v>
      </c>
      <c r="O9" s="16">
        <v>0.60699999999999998</v>
      </c>
      <c r="P9" s="14">
        <v>0.376</v>
      </c>
      <c r="Q9" s="11">
        <v>0.28999999999999998</v>
      </c>
      <c r="R9" s="11">
        <v>0.24099999999999999</v>
      </c>
      <c r="S9" s="11">
        <v>0.23100000000000001</v>
      </c>
      <c r="T9" s="11">
        <v>0.26500000000000001</v>
      </c>
      <c r="U9" s="12">
        <v>0.26500000000000001</v>
      </c>
      <c r="V9" s="24">
        <f>AVERAGE(G9:U9)</f>
        <v>0.34179999999999994</v>
      </c>
      <c r="W9" s="98" t="s">
        <v>43</v>
      </c>
    </row>
    <row r="10" spans="2:23" x14ac:dyDescent="0.35">
      <c r="B10" s="66" t="s">
        <v>26</v>
      </c>
      <c r="C10" s="29" t="s">
        <v>32</v>
      </c>
      <c r="D10" s="16">
        <v>0.98499999999999999</v>
      </c>
      <c r="E10" s="16">
        <v>0.65600000000000003</v>
      </c>
      <c r="F10" s="16">
        <v>0.504</v>
      </c>
      <c r="G10" s="14">
        <v>0.45800000000000002</v>
      </c>
      <c r="H10" s="11">
        <v>0.34499999999999997</v>
      </c>
      <c r="I10" s="16">
        <v>0.59199999999999997</v>
      </c>
      <c r="J10" s="16">
        <v>0.56499999999999995</v>
      </c>
      <c r="K10" s="14">
        <v>0.38800000000000001</v>
      </c>
      <c r="L10" s="14">
        <v>0.40400000000000003</v>
      </c>
      <c r="M10" s="16">
        <v>0.54300000000000004</v>
      </c>
      <c r="N10" s="11">
        <v>0.23300000000000001</v>
      </c>
      <c r="O10" s="14">
        <v>0.40699999999999997</v>
      </c>
      <c r="P10" s="14">
        <v>0.35199999999999998</v>
      </c>
      <c r="Q10" s="14">
        <v>0.41599999999999998</v>
      </c>
      <c r="R10" s="14">
        <v>0.36199999999999999</v>
      </c>
      <c r="S10" s="17">
        <v>0.50700000000000001</v>
      </c>
      <c r="T10" s="31">
        <v>0.34</v>
      </c>
      <c r="U10" s="32">
        <v>0.3</v>
      </c>
      <c r="V10" s="25">
        <f>AVERAGE(D10:U10)</f>
        <v>0.46427777777777784</v>
      </c>
      <c r="W10" s="98" t="s">
        <v>42</v>
      </c>
    </row>
    <row r="11" spans="2:23" x14ac:dyDescent="0.35">
      <c r="B11" s="66" t="s">
        <v>26</v>
      </c>
      <c r="C11" s="29" t="s">
        <v>33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4">
        <v>0.35399999999999998</v>
      </c>
      <c r="S11" s="14">
        <v>0.436</v>
      </c>
      <c r="T11" s="11">
        <v>0.29199999999999998</v>
      </c>
      <c r="U11" s="12">
        <v>0.224</v>
      </c>
      <c r="V11" s="24">
        <f>AVERAGE(R11:U11)</f>
        <v>0.32650000000000001</v>
      </c>
      <c r="W11" s="98" t="s">
        <v>42</v>
      </c>
    </row>
    <row r="12" spans="2:23" ht="15" thickBot="1" x14ac:dyDescent="0.4">
      <c r="B12" s="67" t="s">
        <v>26</v>
      </c>
      <c r="C12" s="30" t="s">
        <v>34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9">
        <v>0.106</v>
      </c>
      <c r="T12" s="19">
        <v>0.14799999999999999</v>
      </c>
      <c r="U12" s="20">
        <v>0.107</v>
      </c>
      <c r="V12" s="26">
        <f>AVERAGE(S12:U12)</f>
        <v>0.12033333333333333</v>
      </c>
      <c r="W12" s="98" t="s">
        <v>43</v>
      </c>
    </row>
    <row r="13" spans="2:23" ht="21" x14ac:dyDescent="0.5">
      <c r="B13" s="4"/>
      <c r="C13" t="s">
        <v>35</v>
      </c>
      <c r="T13" s="108" t="s">
        <v>36</v>
      </c>
      <c r="U13" s="109"/>
      <c r="V13" s="110">
        <f>AVERAGE(V5:V12)</f>
        <v>0.25330209859584857</v>
      </c>
    </row>
    <row r="14" spans="2:23" ht="21" x14ac:dyDescent="0.5">
      <c r="B14" s="5"/>
      <c r="C14" t="s">
        <v>45</v>
      </c>
      <c r="T14" s="105"/>
      <c r="U14" s="106"/>
      <c r="V14" s="107"/>
    </row>
    <row r="15" spans="2:23" ht="21" x14ac:dyDescent="0.5">
      <c r="B15" s="3"/>
      <c r="C15" s="2" t="s">
        <v>46</v>
      </c>
      <c r="T15" s="105"/>
      <c r="U15" s="106"/>
      <c r="V15" s="107"/>
    </row>
    <row r="17" spans="2:2" x14ac:dyDescent="0.35">
      <c r="B17" t="s">
        <v>71</v>
      </c>
    </row>
  </sheetData>
  <mergeCells count="1">
    <mergeCell ref="F4:U4"/>
  </mergeCells>
  <conditionalFormatting sqref="D5:E12">
    <cfRule type="cellIs" dxfId="20" priority="7" operator="greaterThanOrEqual">
      <formula>0.5</formula>
    </cfRule>
    <cfRule type="cellIs" dxfId="19" priority="8" operator="between">
      <formula>0.35</formula>
      <formula>0.5</formula>
    </cfRule>
    <cfRule type="cellIs" dxfId="18" priority="9" operator="between">
      <formula>0.00001</formula>
      <formula>0.349999</formula>
    </cfRule>
  </conditionalFormatting>
  <conditionalFormatting sqref="D10:S10 V10 F11:V12 F5:V9">
    <cfRule type="cellIs" dxfId="17" priority="10" operator="greaterThanOrEqual">
      <formula>0.5</formula>
    </cfRule>
  </conditionalFormatting>
  <conditionalFormatting sqref="D10:S10 V10 F11:V12 F5:V9">
    <cfRule type="cellIs" dxfId="16" priority="11" operator="between">
      <formula>0.35</formula>
      <formula>0.5</formula>
    </cfRule>
    <cfRule type="cellIs" dxfId="15" priority="12" operator="between">
      <formula>0.00001</formula>
      <formula>0.349999</formula>
    </cfRule>
  </conditionalFormatting>
  <conditionalFormatting sqref="V13:V15">
    <cfRule type="cellIs" dxfId="14" priority="1" operator="greaterThanOrEqual">
      <formula>0.5</formula>
    </cfRule>
    <cfRule type="cellIs" dxfId="13" priority="2" operator="between">
      <formula>0.35</formula>
      <formula>0.5</formula>
    </cfRule>
    <cfRule type="cellIs" dxfId="12" priority="3" operator="between">
      <formula>0.00001</formula>
      <formula>0.349999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9BC4-BD63-412C-A638-807337C2A9A2}">
  <dimension ref="B2:K34"/>
  <sheetViews>
    <sheetView tabSelected="1" topLeftCell="A6" zoomScale="140" zoomScaleNormal="140" workbookViewId="0">
      <selection activeCell="B34" sqref="B34"/>
    </sheetView>
  </sheetViews>
  <sheetFormatPr defaultRowHeight="14.5" x14ac:dyDescent="0.35"/>
  <cols>
    <col min="2" max="2" width="8.81640625" customWidth="1"/>
    <col min="3" max="3" width="8.453125" customWidth="1"/>
    <col min="4" max="5" width="8.54296875" customWidth="1"/>
    <col min="6" max="6" width="9.26953125" customWidth="1"/>
    <col min="7" max="7" width="10.54296875" customWidth="1"/>
    <col min="8" max="9" width="10.1796875" bestFit="1" customWidth="1"/>
    <col min="10" max="10" width="11.26953125" customWidth="1"/>
    <col min="11" max="11" width="11" style="8" customWidth="1"/>
    <col min="12" max="12" width="18" customWidth="1"/>
  </cols>
  <sheetData>
    <row r="2" spans="2:11" ht="28.5" x14ac:dyDescent="0.65">
      <c r="C2" s="7" t="s">
        <v>72</v>
      </c>
      <c r="D2" s="7"/>
      <c r="E2" s="7"/>
    </row>
    <row r="3" spans="2:11" ht="15" thickBot="1" x14ac:dyDescent="0.4">
      <c r="C3" t="s">
        <v>63</v>
      </c>
    </row>
    <row r="4" spans="2:11" ht="33" x14ac:dyDescent="0.35">
      <c r="B4" s="89" t="s">
        <v>3</v>
      </c>
      <c r="C4" s="93"/>
      <c r="D4" s="79"/>
      <c r="E4" s="102" t="s">
        <v>5</v>
      </c>
      <c r="F4" s="103"/>
      <c r="G4" s="103"/>
      <c r="H4" s="103"/>
      <c r="I4" s="103"/>
      <c r="J4" s="104"/>
      <c r="K4" s="86" t="s">
        <v>6</v>
      </c>
    </row>
    <row r="5" spans="2:11" ht="15" customHeight="1" x14ac:dyDescent="0.35">
      <c r="B5" s="96" t="s">
        <v>43</v>
      </c>
      <c r="C5" s="94">
        <v>6.4199999999999993E-2</v>
      </c>
      <c r="D5" s="81">
        <v>0.10299999999999999</v>
      </c>
      <c r="E5" s="81">
        <v>0.18099999999999999</v>
      </c>
      <c r="F5" s="81">
        <v>0.121</v>
      </c>
      <c r="G5" s="81">
        <v>0.20200000000000001</v>
      </c>
      <c r="H5" s="81">
        <v>0.22600000000000001</v>
      </c>
      <c r="I5" s="81">
        <v>0.28899999999999998</v>
      </c>
      <c r="J5" s="90">
        <v>0.17199999999999999</v>
      </c>
      <c r="K5" s="87">
        <f>AVERAGE(C5:J5)</f>
        <v>0.16977499999999998</v>
      </c>
    </row>
    <row r="6" spans="2:11" x14ac:dyDescent="0.35">
      <c r="B6" s="96" t="s">
        <v>43</v>
      </c>
      <c r="C6" s="94">
        <v>0.48799999999999999</v>
      </c>
      <c r="D6" s="81">
        <v>0.108</v>
      </c>
      <c r="E6" s="81">
        <v>0.27100000000000002</v>
      </c>
      <c r="F6" s="81">
        <v>0.109</v>
      </c>
      <c r="G6" s="81">
        <v>0.158</v>
      </c>
      <c r="H6" s="81">
        <v>0.11799999999999999</v>
      </c>
      <c r="I6" s="81">
        <v>0.161</v>
      </c>
      <c r="J6" s="90">
        <v>0.33700000000000002</v>
      </c>
      <c r="K6" s="87">
        <f>AVERAGE(C6:J6)</f>
        <v>0.21874999999999997</v>
      </c>
    </row>
    <row r="7" spans="2:11" x14ac:dyDescent="0.35">
      <c r="B7" s="96" t="s">
        <v>43</v>
      </c>
      <c r="C7" s="94">
        <v>0.41199999999999998</v>
      </c>
      <c r="D7" s="81">
        <v>6.5100000000000005E-2</v>
      </c>
      <c r="E7" s="81">
        <v>0.17299999999999999</v>
      </c>
      <c r="F7" s="81">
        <v>0.123</v>
      </c>
      <c r="G7" s="81">
        <v>0.109</v>
      </c>
      <c r="H7" s="81">
        <v>0.126</v>
      </c>
      <c r="I7" s="81">
        <v>0.221</v>
      </c>
      <c r="J7" s="90">
        <v>0.14699999999999999</v>
      </c>
      <c r="K7" s="87">
        <f t="shared" ref="K7:K25" si="0">AVERAGE(C7:J7)</f>
        <v>0.17201249999999998</v>
      </c>
    </row>
    <row r="8" spans="2:11" x14ac:dyDescent="0.35">
      <c r="B8" s="96" t="s">
        <v>43</v>
      </c>
      <c r="C8" s="94">
        <v>0.28699999999999998</v>
      </c>
      <c r="D8" s="81">
        <v>0.17100000000000001</v>
      </c>
      <c r="E8" s="81">
        <v>0.17199999999999999</v>
      </c>
      <c r="F8" s="81">
        <v>0.126</v>
      </c>
      <c r="G8" s="81">
        <v>0.11799999999999999</v>
      </c>
      <c r="H8" s="81">
        <v>7.2999999999999995E-2</v>
      </c>
      <c r="I8" s="81">
        <v>0.28599999999999998</v>
      </c>
      <c r="J8" s="90">
        <v>0.13300000000000001</v>
      </c>
      <c r="K8" s="87">
        <f t="shared" si="0"/>
        <v>0.17074999999999999</v>
      </c>
    </row>
    <row r="9" spans="2:11" x14ac:dyDescent="0.35">
      <c r="B9" s="96" t="s">
        <v>43</v>
      </c>
      <c r="C9" s="94">
        <v>0.38300000000000001</v>
      </c>
      <c r="D9" s="81">
        <v>0.18</v>
      </c>
      <c r="E9" s="81">
        <v>0.125</v>
      </c>
      <c r="F9" s="81">
        <v>0.11899999999999999</v>
      </c>
      <c r="G9" s="81">
        <v>0.152</v>
      </c>
      <c r="H9" s="81">
        <v>0.107</v>
      </c>
      <c r="I9" s="81">
        <v>0.32500000000000001</v>
      </c>
      <c r="J9" s="90">
        <v>0.36799999999999999</v>
      </c>
      <c r="K9" s="87">
        <f t="shared" si="0"/>
        <v>0.21987499999999999</v>
      </c>
    </row>
    <row r="10" spans="2:11" x14ac:dyDescent="0.35">
      <c r="B10" s="96" t="s">
        <v>43</v>
      </c>
      <c r="C10" s="94">
        <v>9.69E-2</v>
      </c>
      <c r="D10" s="81">
        <v>0.14899999999999999</v>
      </c>
      <c r="E10" s="81">
        <v>0.29199999999999998</v>
      </c>
      <c r="F10" s="81">
        <v>9.4899999999999998E-2</v>
      </c>
      <c r="G10" s="81">
        <v>0.13500000000000001</v>
      </c>
      <c r="H10" s="81">
        <v>0.114</v>
      </c>
      <c r="I10" s="81">
        <v>0.20300000000000001</v>
      </c>
      <c r="J10" s="90">
        <v>0.158</v>
      </c>
      <c r="K10" s="87">
        <f t="shared" si="0"/>
        <v>0.15534999999999999</v>
      </c>
    </row>
    <row r="11" spans="2:11" x14ac:dyDescent="0.35">
      <c r="B11" s="96" t="s">
        <v>43</v>
      </c>
      <c r="C11" s="94">
        <v>9.06E-2</v>
      </c>
      <c r="D11" s="81">
        <v>0.372</v>
      </c>
      <c r="E11" s="81">
        <v>0.16700000000000001</v>
      </c>
      <c r="F11" s="81">
        <v>0.121</v>
      </c>
      <c r="G11" s="81">
        <v>0.19700000000000001</v>
      </c>
      <c r="H11" s="81">
        <v>9.3899999999999997E-2</v>
      </c>
      <c r="I11" s="81">
        <v>0.21299999999999999</v>
      </c>
      <c r="J11" s="90">
        <v>0.13</v>
      </c>
      <c r="K11" s="87">
        <f t="shared" si="0"/>
        <v>0.17306250000000001</v>
      </c>
    </row>
    <row r="12" spans="2:11" x14ac:dyDescent="0.35">
      <c r="B12" s="96" t="s">
        <v>43</v>
      </c>
      <c r="C12" s="94">
        <v>6.9699999999999998E-2</v>
      </c>
      <c r="D12" s="81">
        <v>9.3399999999999997E-2</v>
      </c>
      <c r="E12" s="81">
        <v>0.10199999999999999</v>
      </c>
      <c r="F12" s="81">
        <v>6.7599999999999993E-2</v>
      </c>
      <c r="G12" s="81">
        <v>0.188</v>
      </c>
      <c r="H12" s="81">
        <v>9.2100000000000001E-2</v>
      </c>
      <c r="I12" s="81">
        <v>0.121</v>
      </c>
      <c r="J12" s="90">
        <v>0.13300000000000001</v>
      </c>
      <c r="K12" s="87">
        <f t="shared" si="0"/>
        <v>0.10834999999999999</v>
      </c>
    </row>
    <row r="13" spans="2:11" x14ac:dyDescent="0.35">
      <c r="B13" s="96" t="s">
        <v>43</v>
      </c>
      <c r="C13" s="94">
        <v>0.32100000000000001</v>
      </c>
      <c r="D13" s="81">
        <v>0.21299999999999999</v>
      </c>
      <c r="E13" s="81">
        <v>0.11600000000000001</v>
      </c>
      <c r="F13" s="81">
        <v>0.26600000000000001</v>
      </c>
      <c r="G13" s="81">
        <v>0.107</v>
      </c>
      <c r="H13" s="81">
        <v>0.107</v>
      </c>
      <c r="I13" s="81">
        <v>0.13800000000000001</v>
      </c>
      <c r="J13" s="90">
        <v>0.13200000000000001</v>
      </c>
      <c r="K13" s="87">
        <f t="shared" si="0"/>
        <v>0.17500000000000004</v>
      </c>
    </row>
    <row r="14" spans="2:11" ht="14.5" customHeight="1" x14ac:dyDescent="0.35">
      <c r="B14" s="96" t="s">
        <v>43</v>
      </c>
      <c r="C14" s="94">
        <v>7.4700000000000003E-2</v>
      </c>
      <c r="D14" s="81">
        <v>0.158</v>
      </c>
      <c r="E14" s="81">
        <v>0.17199999999999999</v>
      </c>
      <c r="F14" s="81">
        <v>0.17199999999999999</v>
      </c>
      <c r="G14" s="81">
        <v>0.20200000000000001</v>
      </c>
      <c r="H14" s="81">
        <v>0.35899999999999999</v>
      </c>
      <c r="I14" s="81">
        <v>0.24299999999999999</v>
      </c>
      <c r="J14" s="90">
        <v>0.20799999999999999</v>
      </c>
      <c r="K14" s="87">
        <f t="shared" si="0"/>
        <v>0.1985875</v>
      </c>
    </row>
    <row r="15" spans="2:11" ht="14.5" customHeight="1" x14ac:dyDescent="0.35">
      <c r="B15" s="96" t="s">
        <v>43</v>
      </c>
      <c r="C15" s="94">
        <v>4.8899999999999999E-2</v>
      </c>
      <c r="D15" s="81">
        <v>8.0299999999999996E-2</v>
      </c>
      <c r="E15" s="81">
        <v>7.4399999999999994E-2</v>
      </c>
      <c r="F15" s="81">
        <v>0.13100000000000001</v>
      </c>
      <c r="G15" s="81">
        <v>9.2100000000000001E-2</v>
      </c>
      <c r="H15" s="81">
        <v>0.188</v>
      </c>
      <c r="I15" s="81">
        <v>7.1099999999999997E-2</v>
      </c>
      <c r="J15" s="90">
        <v>0.129</v>
      </c>
      <c r="K15" s="87">
        <f t="shared" si="0"/>
        <v>0.10185</v>
      </c>
    </row>
    <row r="16" spans="2:11" ht="14.5" customHeight="1" x14ac:dyDescent="0.35">
      <c r="B16" s="96" t="s">
        <v>43</v>
      </c>
      <c r="C16" s="94">
        <v>0.27500000000000002</v>
      </c>
      <c r="D16" s="81">
        <v>0.11</v>
      </c>
      <c r="E16" s="81">
        <v>0.224</v>
      </c>
      <c r="F16" s="81">
        <v>0.183</v>
      </c>
      <c r="G16" s="81">
        <v>9.4399999999999998E-2</v>
      </c>
      <c r="H16" s="81">
        <v>0.37</v>
      </c>
      <c r="I16" s="81">
        <v>6.9699999999999998E-2</v>
      </c>
      <c r="J16" s="90">
        <v>9.4399999999999998E-2</v>
      </c>
      <c r="K16" s="87">
        <f t="shared" si="0"/>
        <v>0.17756250000000004</v>
      </c>
    </row>
    <row r="17" spans="2:11" ht="14.5" customHeight="1" x14ac:dyDescent="0.35">
      <c r="B17" s="96" t="s">
        <v>43</v>
      </c>
      <c r="C17" s="94">
        <v>0.112</v>
      </c>
      <c r="D17" s="81">
        <v>0.11700000000000001</v>
      </c>
      <c r="E17" s="81">
        <v>0.13500000000000001</v>
      </c>
      <c r="F17" s="81">
        <v>0.14599999999999999</v>
      </c>
      <c r="G17" s="81">
        <v>0.216</v>
      </c>
      <c r="H17" s="81">
        <v>0.30299999999999999</v>
      </c>
      <c r="I17" s="81">
        <v>0.434</v>
      </c>
      <c r="J17" s="90">
        <v>0.32400000000000001</v>
      </c>
      <c r="K17" s="87">
        <f t="shared" si="0"/>
        <v>0.22337499999999999</v>
      </c>
    </row>
    <row r="18" spans="2:11" ht="14.5" customHeight="1" x14ac:dyDescent="0.35">
      <c r="B18" s="96" t="s">
        <v>43</v>
      </c>
      <c r="C18" s="94">
        <v>0.126</v>
      </c>
      <c r="D18" s="81">
        <v>8.2000000000000003E-2</v>
      </c>
      <c r="E18" s="81">
        <v>0.13700000000000001</v>
      </c>
      <c r="F18" s="81">
        <v>0.16200000000000001</v>
      </c>
      <c r="G18" s="81">
        <v>0.17199999999999999</v>
      </c>
      <c r="H18" s="81">
        <v>0.32400000000000001</v>
      </c>
      <c r="I18" s="81">
        <v>0.123</v>
      </c>
      <c r="J18" s="90">
        <v>7.1800000000000003E-2</v>
      </c>
      <c r="K18" s="87">
        <f t="shared" si="0"/>
        <v>0.14972500000000002</v>
      </c>
    </row>
    <row r="19" spans="2:11" ht="14.5" customHeight="1" x14ac:dyDescent="0.35">
      <c r="B19" s="96" t="s">
        <v>43</v>
      </c>
      <c r="C19" s="94">
        <v>0.186</v>
      </c>
      <c r="D19" s="81">
        <v>0.29699999999999999</v>
      </c>
      <c r="E19" s="81">
        <v>0.55200000000000005</v>
      </c>
      <c r="F19" s="81">
        <v>0.115</v>
      </c>
      <c r="G19" s="81">
        <v>0.28999999999999998</v>
      </c>
      <c r="H19" s="81">
        <v>0.11700000000000001</v>
      </c>
      <c r="I19" s="81">
        <v>0.14199999999999999</v>
      </c>
      <c r="J19" s="90">
        <v>0.29899999999999999</v>
      </c>
      <c r="K19" s="87">
        <f t="shared" si="0"/>
        <v>0.24975</v>
      </c>
    </row>
    <row r="20" spans="2:11" x14ac:dyDescent="0.35">
      <c r="B20" s="96" t="s">
        <v>43</v>
      </c>
      <c r="C20" s="94">
        <v>0.41699999999999998</v>
      </c>
      <c r="D20" s="81">
        <v>0.20200000000000001</v>
      </c>
      <c r="E20" s="81">
        <v>0.224</v>
      </c>
      <c r="F20" s="81">
        <v>0.30199999999999999</v>
      </c>
      <c r="G20" s="81">
        <v>0.114</v>
      </c>
      <c r="H20" s="81">
        <v>0.153</v>
      </c>
      <c r="I20" s="81">
        <v>0.23100000000000001</v>
      </c>
      <c r="J20" s="90">
        <v>8.9099999999999999E-2</v>
      </c>
      <c r="K20" s="87">
        <f t="shared" si="0"/>
        <v>0.21651250000000002</v>
      </c>
    </row>
    <row r="21" spans="2:11" x14ac:dyDescent="0.35">
      <c r="B21" s="96" t="s">
        <v>43</v>
      </c>
      <c r="C21" s="94">
        <v>0.113</v>
      </c>
      <c r="D21" s="81">
        <v>0.245</v>
      </c>
      <c r="E21" s="81">
        <v>0.28799999999999998</v>
      </c>
      <c r="F21" s="81">
        <v>0.159</v>
      </c>
      <c r="G21" s="81">
        <v>0.222</v>
      </c>
      <c r="H21" s="81">
        <v>0.35</v>
      </c>
      <c r="I21" s="81">
        <v>0.17899999999999999</v>
      </c>
      <c r="J21" s="90">
        <v>0.309</v>
      </c>
      <c r="K21" s="87">
        <f t="shared" si="0"/>
        <v>0.23312499999999997</v>
      </c>
    </row>
    <row r="22" spans="2:11" x14ac:dyDescent="0.35">
      <c r="B22" s="96" t="s">
        <v>43</v>
      </c>
      <c r="C22" s="94">
        <v>9.1200000000000003E-2</v>
      </c>
      <c r="D22" s="81">
        <v>0.157</v>
      </c>
      <c r="E22" s="81">
        <v>0.129</v>
      </c>
      <c r="F22" s="81">
        <v>0.16600000000000001</v>
      </c>
      <c r="G22" s="81">
        <v>9.5200000000000007E-2</v>
      </c>
      <c r="H22" s="81">
        <v>9.5200000000000007E-2</v>
      </c>
      <c r="I22" s="81">
        <v>0.11</v>
      </c>
      <c r="J22" s="90">
        <v>0.185</v>
      </c>
      <c r="K22" s="87">
        <f t="shared" si="0"/>
        <v>0.12857499999999999</v>
      </c>
    </row>
    <row r="23" spans="2:11" x14ac:dyDescent="0.35">
      <c r="B23" s="96" t="s">
        <v>43</v>
      </c>
      <c r="C23" s="94">
        <v>9.1200000000000003E-2</v>
      </c>
      <c r="D23" s="81">
        <v>0.123</v>
      </c>
      <c r="E23" s="81">
        <v>0.13700000000000001</v>
      </c>
      <c r="F23" s="81">
        <v>0.16700000000000001</v>
      </c>
      <c r="G23" s="81">
        <v>0.14899999999999999</v>
      </c>
      <c r="H23" s="81">
        <v>0.216</v>
      </c>
      <c r="I23" s="81">
        <v>0.13200000000000001</v>
      </c>
      <c r="J23" s="90">
        <v>0.22600000000000001</v>
      </c>
      <c r="K23" s="87">
        <f t="shared" si="0"/>
        <v>0.15515000000000001</v>
      </c>
    </row>
    <row r="24" spans="2:11" x14ac:dyDescent="0.35">
      <c r="B24" s="96" t="s">
        <v>43</v>
      </c>
      <c r="C24" s="94">
        <v>0.1</v>
      </c>
      <c r="D24" s="81">
        <v>0.152</v>
      </c>
      <c r="E24" s="81">
        <v>9.4100000000000003E-2</v>
      </c>
      <c r="F24" s="81">
        <v>0.106</v>
      </c>
      <c r="G24" s="81">
        <v>0.38200000000000001</v>
      </c>
      <c r="H24" s="81">
        <v>0.152</v>
      </c>
      <c r="I24" s="81">
        <v>0.113</v>
      </c>
      <c r="J24" s="90">
        <v>8.3099999999999993E-2</v>
      </c>
      <c r="K24" s="87">
        <f t="shared" si="0"/>
        <v>0.14777500000000002</v>
      </c>
    </row>
    <row r="25" spans="2:11" x14ac:dyDescent="0.35">
      <c r="B25" s="96" t="s">
        <v>43</v>
      </c>
      <c r="C25" s="94">
        <v>0.20100000000000001</v>
      </c>
      <c r="D25" s="81">
        <v>0.114</v>
      </c>
      <c r="E25" s="81">
        <v>0.56999999999999995</v>
      </c>
      <c r="F25" s="81">
        <v>0.10199999999999999</v>
      </c>
      <c r="G25" s="81">
        <v>0.126</v>
      </c>
      <c r="H25" s="81">
        <v>0.19700000000000001</v>
      </c>
      <c r="I25" s="81">
        <v>0.18</v>
      </c>
      <c r="J25" s="90">
        <v>7.1300000000000002E-2</v>
      </c>
      <c r="K25" s="87">
        <f t="shared" si="0"/>
        <v>0.19516249999999999</v>
      </c>
    </row>
    <row r="26" spans="2:11" x14ac:dyDescent="0.35">
      <c r="B26" s="96" t="s">
        <v>43</v>
      </c>
      <c r="C26" s="94">
        <v>8.4400000000000003E-2</v>
      </c>
      <c r="D26" s="81">
        <v>0.111</v>
      </c>
      <c r="E26" s="81">
        <v>0.42</v>
      </c>
      <c r="F26" s="81">
        <v>0.112</v>
      </c>
      <c r="G26" s="81">
        <v>0.155</v>
      </c>
      <c r="H26" s="81">
        <v>0.186</v>
      </c>
      <c r="I26" s="81">
        <v>0.23100000000000001</v>
      </c>
      <c r="J26" s="90">
        <v>0.439</v>
      </c>
      <c r="K26" s="87">
        <f>AVERAGE(C26:J26)</f>
        <v>0.21730000000000002</v>
      </c>
    </row>
    <row r="27" spans="2:11" ht="15" thickBot="1" x14ac:dyDescent="0.4">
      <c r="B27" s="97" t="s">
        <v>43</v>
      </c>
      <c r="C27" s="95"/>
      <c r="D27" s="18"/>
      <c r="E27" s="18"/>
      <c r="F27" s="18"/>
      <c r="G27" s="18"/>
      <c r="H27" s="18"/>
      <c r="I27" s="82">
        <v>0.35</v>
      </c>
      <c r="J27" s="91">
        <v>0.30399999999999999</v>
      </c>
      <c r="K27" s="88">
        <f>AVERAGE(I27:J27)</f>
        <v>0.32699999999999996</v>
      </c>
    </row>
    <row r="28" spans="2:11" ht="21.5" thickBot="1" x14ac:dyDescent="0.55000000000000004">
      <c r="B28" s="4"/>
      <c r="C28" t="s">
        <v>60</v>
      </c>
      <c r="H28" s="72" t="s">
        <v>64</v>
      </c>
      <c r="I28" s="72"/>
      <c r="J28" s="92"/>
      <c r="K28" s="76">
        <f>AVERAGE(K5:K27)</f>
        <v>0.18627717391304344</v>
      </c>
    </row>
    <row r="29" spans="2:11" ht="21" x14ac:dyDescent="0.5">
      <c r="B29" s="5"/>
      <c r="C29" t="s">
        <v>65</v>
      </c>
      <c r="K29" s="70"/>
    </row>
    <row r="30" spans="2:11" ht="21" x14ac:dyDescent="0.5">
      <c r="B30" s="3"/>
      <c r="C30" s="2" t="s">
        <v>62</v>
      </c>
      <c r="K30" s="70"/>
    </row>
    <row r="31" spans="2:11" ht="21" x14ac:dyDescent="0.5">
      <c r="K31" s="70"/>
    </row>
    <row r="32" spans="2:11" x14ac:dyDescent="0.35">
      <c r="B32" t="s">
        <v>66</v>
      </c>
    </row>
    <row r="34" spans="2:2" x14ac:dyDescent="0.35">
      <c r="B34" t="s">
        <v>73</v>
      </c>
    </row>
  </sheetData>
  <mergeCells count="1">
    <mergeCell ref="E4:J4"/>
  </mergeCells>
  <conditionalFormatting sqref="C5:K26 I27:K27">
    <cfRule type="cellIs" dxfId="11" priority="4" operator="greaterThanOrEqual">
      <formula>1.5</formula>
    </cfRule>
    <cfRule type="cellIs" dxfId="10" priority="5" operator="between">
      <formula>1</formula>
      <formula>1.5</formula>
    </cfRule>
    <cfRule type="cellIs" dxfId="9" priority="6" operator="between">
      <formula>0.00001</formula>
      <formula>0.9999</formula>
    </cfRule>
  </conditionalFormatting>
  <conditionalFormatting sqref="K28:K31">
    <cfRule type="cellIs" dxfId="8" priority="1" operator="greaterThanOrEqual">
      <formula>0.5</formula>
    </cfRule>
    <cfRule type="cellIs" dxfId="7" priority="2" operator="between">
      <formula>0.35</formula>
      <formula>0.5</formula>
    </cfRule>
    <cfRule type="cellIs" dxfId="6" priority="3" operator="between">
      <formula>0.00001</formula>
      <formula>0.349999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059B-9ADC-4BAB-834A-A4A19D74C73B}">
  <dimension ref="B2:N23"/>
  <sheetViews>
    <sheetView topLeftCell="A14" zoomScale="140" zoomScaleNormal="140" workbookViewId="0">
      <selection activeCell="B23" sqref="B23"/>
    </sheetView>
  </sheetViews>
  <sheetFormatPr defaultRowHeight="14.5" x14ac:dyDescent="0.35"/>
  <cols>
    <col min="2" max="2" width="6.1796875" customWidth="1"/>
    <col min="3" max="3" width="14.1796875" customWidth="1"/>
    <col min="4" max="4" width="8.453125" customWidth="1"/>
    <col min="5" max="6" width="8.54296875" customWidth="1"/>
    <col min="7" max="7" width="9.26953125" customWidth="1"/>
    <col min="8" max="8" width="13.26953125" customWidth="1"/>
    <col min="9" max="10" width="10.1796875" bestFit="1" customWidth="1"/>
    <col min="11" max="11" width="11.26953125" customWidth="1"/>
    <col min="12" max="12" width="9.7265625" customWidth="1"/>
    <col min="13" max="13" width="10.1796875" bestFit="1" customWidth="1"/>
    <col min="14" max="14" width="11" style="8" customWidth="1"/>
    <col min="15" max="15" width="18" customWidth="1"/>
  </cols>
  <sheetData>
    <row r="2" spans="2:14" ht="28.5" x14ac:dyDescent="0.65">
      <c r="C2" s="7" t="s">
        <v>67</v>
      </c>
      <c r="D2" s="7"/>
      <c r="E2" s="7"/>
      <c r="F2" s="7"/>
    </row>
    <row r="3" spans="2:14" ht="15" thickBot="1" x14ac:dyDescent="0.4">
      <c r="C3" t="s">
        <v>41</v>
      </c>
    </row>
    <row r="4" spans="2:14" ht="33.5" thickBot="1" x14ac:dyDescent="0.4">
      <c r="B4" s="62" t="s">
        <v>3</v>
      </c>
      <c r="C4" s="73" t="s">
        <v>47</v>
      </c>
      <c r="D4" s="64"/>
      <c r="E4" s="64"/>
      <c r="F4" s="99" t="s">
        <v>5</v>
      </c>
      <c r="G4" s="100"/>
      <c r="H4" s="100"/>
      <c r="I4" s="100"/>
      <c r="J4" s="100"/>
      <c r="K4" s="100"/>
      <c r="L4" s="100"/>
      <c r="M4" s="100"/>
      <c r="N4" s="65" t="s">
        <v>6</v>
      </c>
    </row>
    <row r="5" spans="2:14" ht="15" customHeight="1" thickBot="1" x14ac:dyDescent="0.4">
      <c r="B5" s="27" t="s">
        <v>26</v>
      </c>
      <c r="C5" s="83" t="s">
        <v>48</v>
      </c>
      <c r="D5" s="1"/>
      <c r="E5" s="1"/>
      <c r="F5" s="9">
        <v>0.44600000000000001</v>
      </c>
      <c r="G5" s="9">
        <v>0.30299999999999999</v>
      </c>
      <c r="H5" s="9">
        <v>0.6</v>
      </c>
      <c r="I5" s="9">
        <v>0.42</v>
      </c>
      <c r="J5" s="9">
        <v>0.56699999999999995</v>
      </c>
      <c r="K5" s="9">
        <v>0.436</v>
      </c>
      <c r="L5" s="9">
        <v>0.63300000000000001</v>
      </c>
      <c r="M5" s="9">
        <v>0.35499999999999998</v>
      </c>
      <c r="N5" s="77">
        <f>AVERAGE(F5:M5)</f>
        <v>0.47</v>
      </c>
    </row>
    <row r="6" spans="2:14" ht="15" thickBot="1" x14ac:dyDescent="0.4">
      <c r="B6" s="27" t="s">
        <v>26</v>
      </c>
      <c r="C6" s="83" t="s">
        <v>49</v>
      </c>
      <c r="D6" s="1"/>
      <c r="E6" s="1"/>
      <c r="F6" s="1"/>
      <c r="G6" s="1"/>
      <c r="H6" s="9"/>
      <c r="I6" s="9"/>
      <c r="J6" s="9">
        <v>0.216</v>
      </c>
      <c r="K6" s="9">
        <v>0.28399999999999997</v>
      </c>
      <c r="L6" s="9">
        <v>0.14000000000000001</v>
      </c>
      <c r="M6" s="9">
        <v>0.106</v>
      </c>
      <c r="N6" s="77">
        <f t="shared" ref="N6:N18" si="0">AVERAGE(F6:M6)</f>
        <v>0.1865</v>
      </c>
    </row>
    <row r="7" spans="2:14" ht="15" thickBot="1" x14ac:dyDescent="0.4">
      <c r="B7" s="27" t="s">
        <v>26</v>
      </c>
      <c r="C7" s="83" t="s">
        <v>50</v>
      </c>
      <c r="D7" s="1"/>
      <c r="E7" s="9">
        <v>0.28999999999999998</v>
      </c>
      <c r="F7" s="9">
        <v>0.68</v>
      </c>
      <c r="G7" s="9">
        <v>0.34100000000000003</v>
      </c>
      <c r="H7" s="9">
        <v>0.222</v>
      </c>
      <c r="I7" s="9">
        <v>0.71499999999999997</v>
      </c>
      <c r="J7" s="9">
        <v>0.68</v>
      </c>
      <c r="K7" s="9">
        <v>0.68200000000000005</v>
      </c>
      <c r="L7" s="9">
        <v>0.72799999999999998</v>
      </c>
      <c r="M7" s="9">
        <v>0.49399999999999999</v>
      </c>
      <c r="N7" s="77">
        <f>AVERAGE(E7:M7)</f>
        <v>0.53688888888888886</v>
      </c>
    </row>
    <row r="8" spans="2:14" ht="15" thickBot="1" x14ac:dyDescent="0.4">
      <c r="B8" s="27" t="s">
        <v>26</v>
      </c>
      <c r="C8" s="83" t="s">
        <v>51</v>
      </c>
      <c r="D8" s="9">
        <v>0.80300000000000005</v>
      </c>
      <c r="E8" s="9">
        <v>0.48199999999999998</v>
      </c>
      <c r="F8" s="9">
        <v>0.46700000000000003</v>
      </c>
      <c r="G8" s="9">
        <v>0.60099999999999998</v>
      </c>
      <c r="H8" s="9">
        <v>0.41799999999999998</v>
      </c>
      <c r="I8" s="9">
        <v>0.5</v>
      </c>
      <c r="J8" s="9">
        <v>0.55100000000000005</v>
      </c>
      <c r="K8" s="9">
        <v>0.51600000000000001</v>
      </c>
      <c r="L8" s="9">
        <v>0.59499999999999997</v>
      </c>
      <c r="M8" s="9">
        <v>0.66800000000000004</v>
      </c>
      <c r="N8" s="77">
        <f t="shared" si="0"/>
        <v>0.53949999999999998</v>
      </c>
    </row>
    <row r="9" spans="2:14" ht="15" thickBot="1" x14ac:dyDescent="0.4">
      <c r="B9" s="27" t="s">
        <v>26</v>
      </c>
      <c r="C9" s="83" t="s">
        <v>52</v>
      </c>
      <c r="D9" s="1"/>
      <c r="E9" s="1"/>
      <c r="F9" s="1"/>
      <c r="G9" s="9">
        <v>0.85199999999999998</v>
      </c>
      <c r="H9" s="9">
        <v>0.99199999999999999</v>
      </c>
      <c r="I9" s="9">
        <v>0.72399999999999998</v>
      </c>
      <c r="J9" s="9">
        <v>0.33600000000000002</v>
      </c>
      <c r="K9" s="9">
        <v>0.67</v>
      </c>
      <c r="L9" s="9">
        <v>1.1000000000000001</v>
      </c>
      <c r="M9" s="9">
        <v>0.70599999999999996</v>
      </c>
      <c r="N9" s="77">
        <f t="shared" si="0"/>
        <v>0.76857142857142846</v>
      </c>
    </row>
    <row r="10" spans="2:14" ht="15" thickBot="1" x14ac:dyDescent="0.4">
      <c r="B10" s="27" t="s">
        <v>26</v>
      </c>
      <c r="C10" s="83" t="s">
        <v>53</v>
      </c>
      <c r="D10" s="1"/>
      <c r="E10" s="9">
        <v>0.39100000000000001</v>
      </c>
      <c r="F10" s="9">
        <v>0.29299999999999998</v>
      </c>
      <c r="G10" s="9">
        <v>0.33100000000000002</v>
      </c>
      <c r="H10" s="9">
        <v>0.35399999999999998</v>
      </c>
      <c r="I10" s="9">
        <v>0.51300000000000001</v>
      </c>
      <c r="J10" s="9">
        <v>0.438</v>
      </c>
      <c r="K10" s="9">
        <v>0.437</v>
      </c>
      <c r="L10" s="9">
        <v>0.29199999999999998</v>
      </c>
      <c r="M10" s="9">
        <v>0.34300000000000003</v>
      </c>
      <c r="N10" s="77">
        <f>AVERAGE(E10:M10)</f>
        <v>0.37688888888888883</v>
      </c>
    </row>
    <row r="11" spans="2:14" ht="15" thickBot="1" x14ac:dyDescent="0.4">
      <c r="B11" s="27" t="s">
        <v>26</v>
      </c>
      <c r="C11" s="83" t="s">
        <v>54</v>
      </c>
      <c r="D11" s="1"/>
      <c r="E11" s="1"/>
      <c r="F11" s="1"/>
      <c r="G11" s="1"/>
      <c r="H11" s="1"/>
      <c r="I11" s="9">
        <v>0.20499999999999999</v>
      </c>
      <c r="J11" s="9">
        <v>0.214</v>
      </c>
      <c r="K11" s="9">
        <v>0.23599999999999999</v>
      </c>
      <c r="L11" s="9">
        <v>0.219</v>
      </c>
      <c r="M11" s="9">
        <v>0.21</v>
      </c>
      <c r="N11" s="77">
        <f t="shared" si="0"/>
        <v>0.21680000000000002</v>
      </c>
    </row>
    <row r="12" spans="2:14" ht="15" thickBot="1" x14ac:dyDescent="0.4">
      <c r="B12" s="27" t="s">
        <v>26</v>
      </c>
      <c r="C12" s="83" t="s">
        <v>55</v>
      </c>
      <c r="D12" s="1"/>
      <c r="E12" s="1"/>
      <c r="F12" s="1"/>
      <c r="G12" s="1"/>
      <c r="H12" s="1"/>
      <c r="I12" s="9">
        <v>0.26100000000000001</v>
      </c>
      <c r="J12" s="9">
        <v>0.33300000000000002</v>
      </c>
      <c r="K12" s="9">
        <v>0.34200000000000003</v>
      </c>
      <c r="L12" s="9">
        <v>0.44800000000000001</v>
      </c>
      <c r="M12" s="9">
        <v>0.216</v>
      </c>
      <c r="N12" s="77">
        <f t="shared" si="0"/>
        <v>0.32</v>
      </c>
    </row>
    <row r="13" spans="2:14" ht="15" thickBot="1" x14ac:dyDescent="0.4">
      <c r="B13" s="27" t="s">
        <v>26</v>
      </c>
      <c r="C13" s="83" t="s">
        <v>56</v>
      </c>
      <c r="D13" s="1"/>
      <c r="E13" s="1"/>
      <c r="F13" s="1"/>
      <c r="G13" s="9"/>
      <c r="H13" s="9"/>
      <c r="I13" s="9"/>
      <c r="J13" s="9"/>
      <c r="K13" s="9">
        <v>0.54300000000000004</v>
      </c>
      <c r="L13" s="9">
        <v>0.623</v>
      </c>
      <c r="M13" s="9">
        <v>0.66100000000000003</v>
      </c>
      <c r="N13" s="77">
        <f t="shared" si="0"/>
        <v>0.60899999999999999</v>
      </c>
    </row>
    <row r="14" spans="2:14" ht="14.5" customHeight="1" thickBot="1" x14ac:dyDescent="0.4">
      <c r="B14" s="27" t="s">
        <v>26</v>
      </c>
      <c r="C14" s="83" t="s">
        <v>57</v>
      </c>
      <c r="D14" s="1"/>
      <c r="E14" s="1"/>
      <c r="F14" s="1"/>
      <c r="G14" s="9"/>
      <c r="H14" s="9"/>
      <c r="I14" s="9"/>
      <c r="J14" s="9"/>
      <c r="K14" s="9">
        <v>0.46</v>
      </c>
      <c r="L14" s="9">
        <v>0.40600000000000003</v>
      </c>
      <c r="M14" s="9">
        <v>0.439</v>
      </c>
      <c r="N14" s="77">
        <f t="shared" si="0"/>
        <v>0.43500000000000005</v>
      </c>
    </row>
    <row r="15" spans="2:14" ht="14.5" customHeight="1" thickBot="1" x14ac:dyDescent="0.4">
      <c r="B15" s="27" t="s">
        <v>26</v>
      </c>
      <c r="C15" s="83" t="s">
        <v>58</v>
      </c>
      <c r="D15" s="1"/>
      <c r="E15" s="1"/>
      <c r="F15" s="1"/>
      <c r="G15" s="9"/>
      <c r="H15" s="9"/>
      <c r="I15" s="9"/>
      <c r="J15" s="9"/>
      <c r="K15" s="9">
        <v>0.33700000000000002</v>
      </c>
      <c r="L15" s="9">
        <v>0.27</v>
      </c>
      <c r="M15" s="9">
        <v>0.44700000000000001</v>
      </c>
      <c r="N15" s="77">
        <f t="shared" si="0"/>
        <v>0.35133333333333333</v>
      </c>
    </row>
    <row r="16" spans="2:14" ht="14.5" customHeight="1" thickBot="1" x14ac:dyDescent="0.4">
      <c r="B16" s="27" t="s">
        <v>26</v>
      </c>
      <c r="C16" s="83" t="s">
        <v>59</v>
      </c>
      <c r="D16" s="1"/>
      <c r="E16" s="9"/>
      <c r="F16" s="9"/>
      <c r="G16" s="9"/>
      <c r="H16" s="9"/>
      <c r="I16" s="9"/>
      <c r="J16" s="9"/>
      <c r="K16" s="9"/>
      <c r="L16" s="9"/>
      <c r="M16" s="9">
        <v>0.26600000000000001</v>
      </c>
      <c r="N16" s="77">
        <f t="shared" si="0"/>
        <v>0.26600000000000001</v>
      </c>
    </row>
    <row r="17" spans="2:14" ht="14.5" customHeight="1" thickBot="1" x14ac:dyDescent="0.4">
      <c r="B17" s="27" t="s">
        <v>26</v>
      </c>
      <c r="C17" s="83" t="s">
        <v>68</v>
      </c>
      <c r="D17" s="1"/>
      <c r="E17" s="1"/>
      <c r="F17" s="1"/>
      <c r="G17" s="1"/>
      <c r="H17" s="1"/>
      <c r="I17" s="9">
        <v>0.35399999999999998</v>
      </c>
      <c r="J17" s="9">
        <v>0.436</v>
      </c>
      <c r="K17" s="9">
        <v>0.29199999999999998</v>
      </c>
      <c r="L17" s="9">
        <v>0.224</v>
      </c>
      <c r="M17" s="9">
        <v>6.2199999999999998E-2</v>
      </c>
      <c r="N17" s="77">
        <f t="shared" si="0"/>
        <v>0.27363999999999999</v>
      </c>
    </row>
    <row r="18" spans="2:14" ht="14.5" customHeight="1" thickBot="1" x14ac:dyDescent="0.4">
      <c r="B18" s="74" t="s">
        <v>26</v>
      </c>
      <c r="C18" s="84" t="s">
        <v>69</v>
      </c>
      <c r="D18" s="80"/>
      <c r="E18" s="61"/>
      <c r="F18" s="61"/>
      <c r="G18" s="61"/>
      <c r="H18" s="61"/>
      <c r="I18" s="61"/>
      <c r="J18" s="61"/>
      <c r="K18" s="61"/>
      <c r="L18" s="61"/>
      <c r="M18" s="61">
        <v>0.153</v>
      </c>
      <c r="N18" s="78">
        <f t="shared" si="0"/>
        <v>0.153</v>
      </c>
    </row>
    <row r="19" spans="2:14" ht="21.5" thickBot="1" x14ac:dyDescent="0.55000000000000004">
      <c r="B19" s="4"/>
      <c r="C19" t="s">
        <v>60</v>
      </c>
      <c r="L19" s="71" t="s">
        <v>40</v>
      </c>
      <c r="M19" s="71"/>
      <c r="N19" s="85">
        <f>AVERAGE(N5:N18)</f>
        <v>0.39308018140589568</v>
      </c>
    </row>
    <row r="20" spans="2:14" ht="21" x14ac:dyDescent="0.5">
      <c r="B20" s="5"/>
      <c r="C20" t="s">
        <v>61</v>
      </c>
      <c r="N20" s="70"/>
    </row>
    <row r="21" spans="2:14" ht="21" x14ac:dyDescent="0.5">
      <c r="B21" s="3"/>
      <c r="C21" s="2" t="s">
        <v>62</v>
      </c>
      <c r="N21" s="70"/>
    </row>
    <row r="22" spans="2:14" ht="21" x14ac:dyDescent="0.5">
      <c r="N22" s="70"/>
    </row>
    <row r="23" spans="2:14" x14ac:dyDescent="0.35">
      <c r="B23" t="s">
        <v>74</v>
      </c>
    </row>
  </sheetData>
  <mergeCells count="1">
    <mergeCell ref="F4:M4"/>
  </mergeCells>
  <phoneticPr fontId="7" type="noConversion"/>
  <conditionalFormatting sqref="F5:N5 H6:M6 N6:N19 E7:M7 D8:M8 G9:M9 E10:M10 I11:M12 G13:M15 E16:M16 I17:M17 E18:M18">
    <cfRule type="cellIs" dxfId="5" priority="4" operator="greaterThanOrEqual">
      <formula>1.5</formula>
    </cfRule>
    <cfRule type="cellIs" dxfId="4" priority="5" operator="between">
      <formula>1</formula>
      <formula>1.5</formula>
    </cfRule>
    <cfRule type="cellIs" dxfId="3" priority="6" operator="between">
      <formula>0.00001</formula>
      <formula>0.9999</formula>
    </cfRule>
  </conditionalFormatting>
  <conditionalFormatting sqref="N20:N22">
    <cfRule type="cellIs" dxfId="2" priority="1" operator="greaterThanOrEqual">
      <formula>0.5</formula>
    </cfRule>
    <cfRule type="cellIs" dxfId="1" priority="2" operator="between">
      <formula>0.35</formula>
      <formula>0.5</formula>
    </cfRule>
    <cfRule type="cellIs" dxfId="0" priority="3" operator="between">
      <formula>0.00001</formula>
      <formula>0.349999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4818A208B1B4B9EA619A5C02E3825" ma:contentTypeVersion="3" ma:contentTypeDescription="Create a new document." ma:contentTypeScope="" ma:versionID="74cddbebea748224aaea361b31a5ab63">
  <xsd:schema xmlns:xsd="http://www.w3.org/2001/XMLSchema" xmlns:xs="http://www.w3.org/2001/XMLSchema" xmlns:p="http://schemas.microsoft.com/office/2006/metadata/properties" xmlns:ns2="8241627e-7435-4815-828e-b98d34ce224d" targetNamespace="http://schemas.microsoft.com/office/2006/metadata/properties" ma:root="true" ma:fieldsID="75ee0124318cc59ab78f7c8f5686b736" ns2:_="">
    <xsd:import namespace="8241627e-7435-4815-828e-b98d34ce22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41627e-7435-4815-828e-b98d34ce22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93ED3A-E68F-43B2-AEC3-8A46A9AB95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963752-91ED-485D-BC3A-CF3858CBE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41627e-7435-4815-828e-b98d34ce22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889776-B048-4697-8AA7-5FBBBC4C9FB9}">
  <ds:schemaRefs>
    <ds:schemaRef ds:uri="8241627e-7435-4815-828e-b98d34ce224d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7920093a-3a65-4aba-8d54-76b28484a094}" enabled="0" method="" siteId="{7920093a-3a65-4aba-8d54-76b28484a0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Inledning</vt:lpstr>
      <vt:lpstr>Kv &lt;50 överskridanden</vt:lpstr>
      <vt:lpstr>Kv &lt;50 förhöjda värden</vt:lpstr>
      <vt:lpstr>NF Flotation end mätresult</vt:lpstr>
      <vt:lpstr>NF Sensor Män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Jeanette Holmgren</dc:creator>
  <cp:keywords/>
  <dc:description/>
  <cp:lastModifiedBy>Jeanette Holmgren</cp:lastModifiedBy>
  <cp:revision/>
  <dcterms:created xsi:type="dcterms:W3CDTF">2025-11-25T12:49:26Z</dcterms:created>
  <dcterms:modified xsi:type="dcterms:W3CDTF">2026-05-27T09:22:49Z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0x010100A654818A208B1B4B9EA619A5C02E3825</vt:lpwstr>
  </property>
</Properties>
</file>